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https://newbridgepharma.sharepoint.com/sites/NBP-FileShare/IT/IT Projects/2024/Risk Assessment - NBP-Inovasys/NBP ISO 27001 &amp; 27701 Phase 1/5. Cybersecurity and PIMS Risk Assessment/"/>
    </mc:Choice>
  </mc:AlternateContent>
  <xr:revisionPtr revIDLastSave="1290" documentId="8_{8507B3E4-C034-44DC-8E7E-90CD15E0E11C}" xr6:coauthVersionLast="47" xr6:coauthVersionMax="47" xr10:uidLastSave="{1D1F70D5-5708-48C8-ABFE-7BB48A13A7E4}"/>
  <bookViews>
    <workbookView xWindow="-108" yWindow="-108" windowWidth="23256" windowHeight="13896" xr2:uid="{00000000-000D-0000-FFFF-FFFF00000000}"/>
  </bookViews>
  <sheets>
    <sheet name="Cover" sheetId="1" r:id="rId1"/>
    <sheet name="Assests" sheetId="2" r:id="rId2"/>
    <sheet name="Threat_Catalogue " sheetId="4" r:id="rId3"/>
    <sheet name="Likelihood_Impact_Score" sheetId="5" r:id="rId4"/>
    <sheet name="Risk-Score" sheetId="6" r:id="rId5"/>
    <sheet name="Risk_Treatment_Options" sheetId="8" r:id="rId6"/>
    <sheet name="Risk-Register" sheetId="7" r:id="rId7"/>
  </sheets>
  <externalReferences>
    <externalReference r:id="rId8"/>
  </externalReferences>
  <definedNames>
    <definedName name="_xlnm._FilterDatabase" localSheetId="6" hidden="1">'Risk-Register'!$B$4:$O$27</definedName>
    <definedName name="_xlnm._FilterDatabase" localSheetId="2" hidden="1">'Threat_Catalogue '!$B$3:$J$26</definedName>
    <definedName name="_Hlk10025557" localSheetId="3">Likelihood_Impact_Score!$C$15</definedName>
    <definedName name="_Toc230329165" localSheetId="5">Risk_Treatment_Options!$B$5</definedName>
    <definedName name="_xlnm.Print_Area" localSheetId="0">Cover!$A$1:$I$28</definedName>
    <definedName name="Risk_treatment">[1]Configuration!$D$66:$D$75</definedName>
    <definedName name="type">[1]Configuration!$D$48:$D$49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7" l="1"/>
  <c r="O19" i="7"/>
  <c r="P19" i="7" s="1"/>
  <c r="O10" i="7"/>
  <c r="P10" i="7" s="1"/>
  <c r="O7" i="7"/>
  <c r="P7" i="7" s="1"/>
  <c r="O20" i="7"/>
  <c r="P20" i="7" s="1"/>
  <c r="O21" i="7"/>
  <c r="P21" i="7" s="1"/>
  <c r="O22" i="7"/>
  <c r="P22" i="7" s="1"/>
  <c r="O23" i="7"/>
  <c r="P23" i="7" s="1"/>
  <c r="O13" i="7"/>
  <c r="P13" i="7" s="1"/>
  <c r="O11" i="7"/>
  <c r="P11" i="7" s="1"/>
  <c r="O14" i="7"/>
  <c r="P14" i="7" s="1"/>
  <c r="O15" i="7"/>
  <c r="P15" i="7" s="1"/>
  <c r="O16" i="7"/>
  <c r="P16" i="7" s="1"/>
  <c r="O17" i="7"/>
  <c r="P17" i="7" s="1"/>
  <c r="O8" i="7"/>
  <c r="P8" i="7" s="1"/>
  <c r="O9" i="7"/>
  <c r="P9" i="7" s="1"/>
  <c r="O12" i="7"/>
  <c r="P12" i="7" s="1"/>
  <c r="O27" i="7"/>
  <c r="P27" i="7" s="1"/>
  <c r="O24" i="7"/>
  <c r="P24" i="7" s="1"/>
  <c r="O25" i="7"/>
  <c r="P25" i="7" s="1"/>
  <c r="O26" i="7"/>
  <c r="P26" i="7" s="1"/>
  <c r="O6" i="7"/>
  <c r="P6" i="7" s="1"/>
  <c r="O18" i="7"/>
  <c r="P18" i="7" s="1"/>
  <c r="O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26D4CD-A2A7-4523-B038-99919E97C9F6}"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<sst xmlns="http://schemas.openxmlformats.org/spreadsheetml/2006/main" count="643" uniqueCount="392">
  <si>
    <t>Document Control</t>
  </si>
  <si>
    <t>Classification</t>
  </si>
  <si>
    <t>Confidential</t>
  </si>
  <si>
    <t>Version control</t>
  </si>
  <si>
    <t>Version</t>
  </si>
  <si>
    <t>Date</t>
  </si>
  <si>
    <t>Updated By</t>
  </si>
  <si>
    <t>Version Details</t>
  </si>
  <si>
    <t>25-6-2024</t>
  </si>
  <si>
    <t>Inovasys</t>
  </si>
  <si>
    <t>Document Created</t>
  </si>
  <si>
    <t>Primary Assets</t>
  </si>
  <si>
    <t>Rating</t>
  </si>
  <si>
    <t>Assets Rating Description</t>
  </si>
  <si>
    <t>Reference</t>
  </si>
  <si>
    <t>Type</t>
  </si>
  <si>
    <t>Category</t>
  </si>
  <si>
    <t>Description</t>
  </si>
  <si>
    <t>C</t>
  </si>
  <si>
    <t>I</t>
  </si>
  <si>
    <t>A</t>
  </si>
  <si>
    <t>Level</t>
  </si>
  <si>
    <t>Value</t>
  </si>
  <si>
    <t>Confidentiality</t>
  </si>
  <si>
    <t>Integrity</t>
  </si>
  <si>
    <t>Availability</t>
  </si>
  <si>
    <t>PA1</t>
  </si>
  <si>
    <t>Data</t>
  </si>
  <si>
    <t>Sensitive Data</t>
  </si>
  <si>
    <r>
      <rPr>
        <b/>
        <u/>
        <sz val="10"/>
        <color theme="1"/>
        <rFont val="TT Firs Neue Trl Light"/>
      </rPr>
      <t>PII data</t>
    </r>
    <r>
      <rPr>
        <sz val="10"/>
        <color theme="1"/>
        <rFont val="TT Firs Neue Trl Light"/>
      </rPr>
      <t xml:space="preserve"> (Person Identification, Name, ID , Mobile, Address, Email) 
contained in the following applications: 
SAP, VMware, vCenter, HROPAL, eQMS, ZOHO Expense, OCE, CIGNON, HikVision.</t>
    </r>
  </si>
  <si>
    <t>Very High</t>
  </si>
  <si>
    <t>Low</t>
  </si>
  <si>
    <t>The asset contains information that is not sensitive, and its unauthorized disclosure would have minimal impact on the organization.</t>
  </si>
  <si>
    <t>The accuracy and reliability of the asset's information are not critical, and any alteration or corruption would have minimal impact on the organization.</t>
  </si>
  <si>
    <t>The asset is rarely used, and its unavailability would have minimal impact on the organization.</t>
  </si>
  <si>
    <t>PA2</t>
  </si>
  <si>
    <t xml:space="preserve">Data </t>
  </si>
  <si>
    <t>Employee Data</t>
  </si>
  <si>
    <r>
      <rPr>
        <b/>
        <u/>
        <sz val="10"/>
        <color theme="1"/>
        <rFont val="TT Firs Neue Trl Light"/>
      </rPr>
      <t>Employee Data</t>
    </r>
    <r>
      <rPr>
        <sz val="10"/>
        <color theme="1"/>
        <rFont val="TT Firs Neue Trl Light"/>
      </rPr>
      <t xml:space="preserve"> (Name, ID, Mobile, Address, Email), 
Stored in the following applications: SAP, VMware, vCenter, HROPAL, eQMS, ZOHO Expense, OCE, HikVision, MyQ, Wondershare</t>
    </r>
  </si>
  <si>
    <t>High</t>
  </si>
  <si>
    <t>Mid</t>
  </si>
  <si>
    <t>The asset contains information that is moderately sensitive, and its unauthorized disclosure could cause some harm or inconvenience to the organization.</t>
  </si>
  <si>
    <t>The accuracy and reliability of the asset's information are somewhat important, and any alteration or corruption could cause moderate disruption or inconvenience.</t>
  </si>
  <si>
    <t>The asset is used regularly, and its unavailability would have a noticeable but not critical impact on the organization’s operations.</t>
  </si>
  <si>
    <t>PA3</t>
  </si>
  <si>
    <t>Organizational/Technical Data</t>
  </si>
  <si>
    <r>
      <rPr>
        <b/>
        <u/>
        <sz val="10"/>
        <color theme="1"/>
        <rFont val="TT Firs Neue Trl Light"/>
      </rPr>
      <t>Technical Architecture Diagram</t>
    </r>
    <r>
      <rPr>
        <sz val="10"/>
        <color theme="1"/>
        <rFont val="TT Firs Neue Trl Light"/>
      </rPr>
      <t xml:space="preserve">, 
</t>
    </r>
    <r>
      <rPr>
        <b/>
        <u/>
        <sz val="10"/>
        <color theme="1"/>
        <rFont val="TT Firs Neue Trl Light"/>
      </rPr>
      <t>High/low level diagrams</t>
    </r>
    <r>
      <rPr>
        <sz val="10"/>
        <color theme="1"/>
        <rFont val="TT Firs Neue Trl Light"/>
      </rPr>
      <t xml:space="preserve">, 
</t>
    </r>
    <r>
      <rPr>
        <b/>
        <u/>
        <sz val="10"/>
        <color theme="1"/>
        <rFont val="TT Firs Neue Trl Light"/>
      </rPr>
      <t>Data Flow Diagram 
Supplier contracts.</t>
    </r>
    <r>
      <rPr>
        <sz val="10"/>
        <color theme="1"/>
        <rFont val="TT Firs Neue Trl Light"/>
      </rPr>
      <t xml:space="preserve">
Applications that contain Organizational/Technical data: VMware, vCenter, eQMS
Information about hardware in the Webex, Meraki, and Logitech applications</t>
    </r>
  </si>
  <si>
    <t>The asset contains sensitive information that, if disclosed, could cause significant harm to the organization, including financial loss, reputational damage, or legal implications.</t>
  </si>
  <si>
    <t>The accuracy and reliability of the asset's information are crucial, and any alteration or corruption could cause significant disruption or harm to the organization’s operations.</t>
  </si>
  <si>
    <t>The asset is essential for daily operations, and its unavailability would have a significant impact on the organization, potentially causing operational delays or financial loss.</t>
  </si>
  <si>
    <t>PA4</t>
  </si>
  <si>
    <t>Analytical Data</t>
  </si>
  <si>
    <r>
      <rPr>
        <b/>
        <u/>
        <sz val="10"/>
        <color theme="1"/>
        <rFont val="TT Firs Neue Trl Light"/>
      </rPr>
      <t xml:space="preserve">Analytical Data </t>
    </r>
    <r>
      <rPr>
        <sz val="10"/>
        <color theme="1"/>
        <rFont val="TT Firs Neue Trl Light"/>
      </rPr>
      <t>gathered by the following applications:
SAP, VMware, vCenter, HROPAL, eQMS, ZOHO Expense, OCE, CIGNON, HikVision, MyQ, Wondershare)</t>
    </r>
  </si>
  <si>
    <t>The asset contains highly sensitive information whose unauthorized disclosure would cause severe harm to the organization, possibly leading to severe financial loss, legal penalties, and major reputational damage.</t>
  </si>
  <si>
    <t>The accuracy and reliability of the asset's information are critical, and any alteration or corruption would cause severe disruption or significant harm, potentially with legal or regulatory consequences.</t>
  </si>
  <si>
    <t>The asset is critical for the organization’s operations, and its unavailability would cause severe disruption, financial loss, and possibly regulatory or legal consequences.</t>
  </si>
  <si>
    <t>PA5</t>
  </si>
  <si>
    <t>Adminstrative Data</t>
  </si>
  <si>
    <r>
      <rPr>
        <b/>
        <u/>
        <sz val="10"/>
        <color theme="1"/>
        <rFont val="TT Firs Neue Trl Light"/>
      </rPr>
      <t xml:space="preserve">Authentication data
Configuration Files
</t>
    </r>
    <r>
      <rPr>
        <sz val="10"/>
        <color theme="1"/>
        <rFont val="TT Firs Neue Trl Light"/>
      </rPr>
      <t>Authentication Data that is stored in the following applications: VMware, vCenter, SFTP, Mendelson AS2, VISIOTT, MyQ and Active directory Domain Controller.</t>
    </r>
  </si>
  <si>
    <t>PA6</t>
  </si>
  <si>
    <t xml:space="preserve">Loggiging_Data </t>
  </si>
  <si>
    <t>Admin logging Data
User Logging Data</t>
  </si>
  <si>
    <t>PA7</t>
  </si>
  <si>
    <t>Function/Process</t>
  </si>
  <si>
    <t>Core_Business_Functions</t>
  </si>
  <si>
    <t>Accounting, Sales Representative and Procurement transactions
inventory management
File Transfer
customer relationship management
Healthcare Compliance Application</t>
  </si>
  <si>
    <t>PA8</t>
  </si>
  <si>
    <t>Function/ Process</t>
  </si>
  <si>
    <t>Customer-Facing Functions</t>
  </si>
  <si>
    <t xml:space="preserve">NewBridge Pharmaceuticals website, </t>
  </si>
  <si>
    <t>Supporting Assets</t>
  </si>
  <si>
    <t>SA1</t>
  </si>
  <si>
    <t>Information Systems</t>
  </si>
  <si>
    <t>Data Storage Systems</t>
  </si>
  <si>
    <r>
      <rPr>
        <b/>
        <u/>
        <sz val="10"/>
        <color theme="1"/>
        <rFont val="TT Firs Neue Trl Light"/>
      </rPr>
      <t>Data Store</t>
    </r>
    <r>
      <rPr>
        <sz val="10"/>
        <color theme="1"/>
        <rFont val="TT Firs Neue Trl Light"/>
      </rPr>
      <t xml:space="preserve"> (Databases, storage servers) for primary assets.
</t>
    </r>
    <r>
      <rPr>
        <b/>
        <u/>
        <sz val="10"/>
        <color theme="1"/>
        <rFont val="TT Firs Neue Trl Light"/>
      </rPr>
      <t>Backup systems</t>
    </r>
    <r>
      <rPr>
        <sz val="10"/>
        <color theme="1"/>
        <rFont val="TT Firs Neue Trl Light"/>
      </rPr>
      <t xml:space="preserve"> (Local and on Azure)</t>
    </r>
  </si>
  <si>
    <t>SA2</t>
  </si>
  <si>
    <t>Operational Systems</t>
  </si>
  <si>
    <r>
      <rPr>
        <b/>
        <u/>
        <sz val="10"/>
        <color theme="1"/>
        <rFont val="TT Firs Neue Trl Light"/>
      </rPr>
      <t>Operating systems of data center and office devices</t>
    </r>
    <r>
      <rPr>
        <sz val="10"/>
        <color theme="1"/>
        <rFont val="TT Firs Neue Trl Light"/>
      </rPr>
      <t xml:space="preserve"> (Servers, Gateways, Firewalls, intrusion detection/prevention systems, Networking tools authentication systems, office equipment.</t>
    </r>
  </si>
  <si>
    <t>SA3</t>
  </si>
  <si>
    <t>Facilities</t>
  </si>
  <si>
    <t>NB-Physical Location</t>
  </si>
  <si>
    <r>
      <rPr>
        <b/>
        <u/>
        <sz val="10"/>
        <color theme="1"/>
        <rFont val="TT Firs Neue Trl Light"/>
      </rPr>
      <t xml:space="preserve">Dubai HQ: </t>
    </r>
    <r>
      <rPr>
        <sz val="10"/>
        <color theme="1"/>
        <rFont val="TT Firs Neue Trl Light"/>
      </rPr>
      <t xml:space="preserve">Dubai Science Park Towers, 17th Floor, North Tower
</t>
    </r>
    <r>
      <rPr>
        <b/>
        <u/>
        <sz val="10"/>
        <color theme="1"/>
        <rFont val="TT Firs Neue Trl Light"/>
      </rPr>
      <t xml:space="preserve">Dubai Lap Complex: </t>
    </r>
    <r>
      <rPr>
        <sz val="10"/>
        <color theme="1"/>
        <rFont val="TT Firs Neue Trl Light"/>
      </rPr>
      <t xml:space="preserve">Dubai Science Park Lab Complex, Ground Floor
</t>
    </r>
  </si>
  <si>
    <t>SA4</t>
  </si>
  <si>
    <t>Personnel</t>
  </si>
  <si>
    <t>Support Staff</t>
  </si>
  <si>
    <r>
      <rPr>
        <b/>
        <u/>
        <sz val="10"/>
        <color theme="1"/>
        <rFont val="TT Firs Neue Trl Light"/>
      </rPr>
      <t>System administrators</t>
    </r>
    <r>
      <rPr>
        <sz val="10"/>
        <color theme="1"/>
        <rFont val="TT Firs Neue Trl Light"/>
      </rPr>
      <t xml:space="preserve">, 
</t>
    </r>
    <r>
      <rPr>
        <b/>
        <u/>
        <sz val="10"/>
        <color theme="1"/>
        <rFont val="TT Firs Neue Trl Light"/>
      </rPr>
      <t>cybersecurity experts</t>
    </r>
    <r>
      <rPr>
        <sz val="10"/>
        <color theme="1"/>
        <rFont val="TT Firs Neue Trl Light"/>
      </rPr>
      <t xml:space="preserve">, 
</t>
    </r>
    <r>
      <rPr>
        <b/>
        <u/>
        <sz val="10"/>
        <color theme="1"/>
        <rFont val="TT Firs Neue Trl Light"/>
      </rPr>
      <t>IT support,</t>
    </r>
    <r>
      <rPr>
        <sz val="10"/>
        <color theme="1"/>
        <rFont val="TT Firs Neue Trl Light"/>
      </rPr>
      <t xml:space="preserve">
</t>
    </r>
  </si>
  <si>
    <t>SA5</t>
  </si>
  <si>
    <t>Operational Staff</t>
  </si>
  <si>
    <t>Accounting,
Sales Representative .</t>
  </si>
  <si>
    <t>SA6</t>
  </si>
  <si>
    <t>Hardware Assets</t>
  </si>
  <si>
    <t>High Value Equipment 
( Data Center)</t>
  </si>
  <si>
    <r>
      <rPr>
        <b/>
        <u/>
        <sz val="10"/>
        <color theme="1"/>
        <rFont val="TT Firs Neue Trl Light"/>
      </rPr>
      <t>Network and Security Devices</t>
    </r>
    <r>
      <rPr>
        <sz val="10"/>
        <color theme="1"/>
        <rFont val="TT Firs Neue Trl Light"/>
      </rPr>
      <t xml:space="preserve"> (routers, switches, Firewalls..etc.), 
</t>
    </r>
    <r>
      <rPr>
        <b/>
        <u/>
        <sz val="10"/>
        <color theme="1"/>
        <rFont val="TT Firs Neue Trl Light"/>
      </rPr>
      <t>Physical Servers:</t>
    </r>
    <r>
      <rPr>
        <sz val="10"/>
        <color theme="1"/>
        <rFont val="TT Firs Neue Trl Light"/>
      </rPr>
      <t xml:space="preserve"> Physical Servers that’s hold VMs
</t>
    </r>
  </si>
  <si>
    <t>SA7</t>
  </si>
  <si>
    <t>Operational Office Equipment</t>
  </si>
  <si>
    <r>
      <rPr>
        <b/>
        <u/>
        <sz val="10"/>
        <color theme="1"/>
        <rFont val="TT Firs Neue Trl Light"/>
      </rPr>
      <t>Computers</t>
    </r>
    <r>
      <rPr>
        <sz val="10"/>
        <color theme="1"/>
        <rFont val="TT Firs Neue Trl Light"/>
      </rPr>
      <t xml:space="preserve"> for office staff, 
</t>
    </r>
    <r>
      <rPr>
        <b/>
        <u/>
        <sz val="10"/>
        <color theme="1"/>
        <rFont val="TT Firs Neue Trl Light"/>
      </rPr>
      <t>Printers</t>
    </r>
    <r>
      <rPr>
        <sz val="10"/>
        <color theme="1"/>
        <rFont val="TT Firs Neue Trl Light"/>
      </rPr>
      <t xml:space="preserve">
</t>
    </r>
    <r>
      <rPr>
        <b/>
        <u/>
        <sz val="10"/>
        <color theme="1"/>
        <rFont val="TT Firs Neue Trl Light"/>
      </rPr>
      <t>Digital Signage Screen</t>
    </r>
    <r>
      <rPr>
        <sz val="10"/>
        <color theme="1"/>
        <rFont val="TT Firs Neue Trl Light"/>
      </rPr>
      <t xml:space="preserve">
</t>
    </r>
    <r>
      <rPr>
        <b/>
        <u/>
        <sz val="10"/>
        <color theme="1"/>
        <rFont val="TT Firs Neue Trl Light"/>
      </rPr>
      <t xml:space="preserve">Wireless Access Point </t>
    </r>
    <r>
      <rPr>
        <sz val="10"/>
        <color theme="1"/>
        <rFont val="TT Firs Neue Trl Light"/>
      </rPr>
      <t xml:space="preserve">
</t>
    </r>
    <r>
      <rPr>
        <b/>
        <u/>
        <sz val="10"/>
        <color theme="1"/>
        <rFont val="TT Firs Neue Trl Light"/>
      </rPr>
      <t>Video Conferencing Camera</t>
    </r>
  </si>
  <si>
    <t>SA8</t>
  </si>
  <si>
    <t xml:space="preserve">Physical Security Office Equipment </t>
  </si>
  <si>
    <t>Office-CCTV
Physical-Access-Control</t>
  </si>
  <si>
    <t>SA9</t>
  </si>
  <si>
    <t>Software Assets</t>
  </si>
  <si>
    <t>Enterprise Software</t>
  </si>
  <si>
    <r>
      <rPr>
        <b/>
        <u/>
        <sz val="10"/>
        <color theme="1"/>
        <rFont val="TT Firs Neue Trl Light"/>
      </rPr>
      <t xml:space="preserve">Core Business: </t>
    </r>
    <r>
      <rPr>
        <u/>
        <sz val="10"/>
        <color theme="1"/>
        <rFont val="TT Firs Neue Trl Light"/>
      </rPr>
      <t>SAP on Azure for enterprise resource planning (ERP),</t>
    </r>
    <r>
      <rPr>
        <b/>
        <u/>
        <sz val="10"/>
        <color theme="1"/>
        <rFont val="TT Firs Neue Trl Light"/>
      </rPr>
      <t xml:space="preserve"> 
IQVIA eQMS: </t>
    </r>
    <r>
      <rPr>
        <u/>
        <sz val="10"/>
        <color theme="1"/>
        <rFont val="TT Firs Neue Trl Light"/>
      </rPr>
      <t>Quality Management System</t>
    </r>
    <r>
      <rPr>
        <b/>
        <u/>
        <sz val="10"/>
        <color theme="1"/>
        <rFont val="TT Firs Neue Trl Light"/>
      </rPr>
      <t xml:space="preserve">
IQVIA OCE: </t>
    </r>
    <r>
      <rPr>
        <u/>
        <sz val="10"/>
        <color theme="1"/>
        <rFont val="TT Firs Neue Trl Light"/>
      </rPr>
      <t>NewBridge Salesforce CRM System</t>
    </r>
    <r>
      <rPr>
        <b/>
        <u/>
        <sz val="10"/>
        <color theme="1"/>
        <rFont val="TT Firs Neue Trl Light"/>
      </rPr>
      <t xml:space="preserve">
CIGNON: Healthcare Compliance Application
Office suites </t>
    </r>
    <r>
      <rPr>
        <u/>
        <sz val="10"/>
        <color theme="1"/>
        <rFont val="TT Firs Neue Trl Light"/>
      </rPr>
      <t>(e.g., Microsoft Office)</t>
    </r>
    <r>
      <rPr>
        <b/>
        <u/>
        <sz val="10"/>
        <color theme="1"/>
        <rFont val="TT Firs Neue Trl Light"/>
      </rPr>
      <t xml:space="preserve">.
</t>
    </r>
    <r>
      <rPr>
        <sz val="10"/>
        <color theme="1"/>
        <rFont val="TT Firs Neue Trl Light"/>
      </rPr>
      <t xml:space="preserve">
</t>
    </r>
  </si>
  <si>
    <t>SA10</t>
  </si>
  <si>
    <t>IT Support Software</t>
  </si>
  <si>
    <r>
      <rPr>
        <b/>
        <u/>
        <sz val="10"/>
        <color theme="1"/>
        <rFont val="TT Firs Neue Trl Light"/>
      </rPr>
      <t>MyQ:</t>
    </r>
    <r>
      <rPr>
        <sz val="10"/>
        <color theme="1"/>
        <rFont val="TT Firs Neue Trl Light"/>
      </rPr>
      <t xml:space="preserve"> Printer Management Service
</t>
    </r>
    <r>
      <rPr>
        <b/>
        <u/>
        <sz val="10"/>
        <color theme="1"/>
        <rFont val="TT Firs Neue Trl Light"/>
      </rPr>
      <t>Avedia Server:</t>
    </r>
    <r>
      <rPr>
        <sz val="10"/>
        <color theme="1"/>
        <rFont val="TT Firs Neue Trl Light"/>
      </rPr>
      <t xml:space="preserve"> Publishing digital signage across screen in HQ and remote sites
</t>
    </r>
    <r>
      <rPr>
        <b/>
        <u/>
        <sz val="10"/>
        <color theme="1"/>
        <rFont val="TT Firs Neue Trl Light"/>
      </rPr>
      <t>Webex Control Hub:</t>
    </r>
    <r>
      <rPr>
        <sz val="10"/>
        <color theme="1"/>
        <rFont val="TT Firs Neue Trl Light"/>
      </rPr>
      <t xml:space="preserve"> Managing and installation of Cisco Webex video conferencing hardware
</t>
    </r>
    <r>
      <rPr>
        <b/>
        <u/>
        <sz val="10"/>
        <color theme="1"/>
        <rFont val="TT Firs Neue Trl Light"/>
      </rPr>
      <t>Logitech Sync Portal:</t>
    </r>
    <r>
      <rPr>
        <sz val="10"/>
        <color theme="1"/>
        <rFont val="TT Firs Neue Trl Light"/>
      </rPr>
      <t xml:space="preserve"> Managing and installation of Logitech video conferencing hardware
</t>
    </r>
    <r>
      <rPr>
        <b/>
        <u/>
        <sz val="10"/>
        <color theme="1"/>
        <rFont val="TT Firs Neue Trl Light"/>
      </rPr>
      <t>Wondershare Document Cloud:</t>
    </r>
    <r>
      <rPr>
        <sz val="10"/>
        <color theme="1"/>
        <rFont val="TT Firs Neue Trl Light"/>
      </rPr>
      <t xml:space="preserve"> Digital Signature Application</t>
    </r>
  </si>
  <si>
    <t>SA11</t>
  </si>
  <si>
    <t>Data Management and Analysis Software</t>
  </si>
  <si>
    <r>
      <t xml:space="preserve">Mendelson AS2: </t>
    </r>
    <r>
      <rPr>
        <u/>
        <sz val="10"/>
        <color theme="1"/>
        <rFont val="TT Firs Neue Trl Light"/>
      </rPr>
      <t>software for secure data exchange.</t>
    </r>
    <r>
      <rPr>
        <b/>
        <u/>
        <sz val="10"/>
        <color theme="1"/>
        <rFont val="TT Firs Neue Trl Light"/>
      </rPr>
      <t xml:space="preserve">
VISIOTT: </t>
    </r>
    <r>
      <rPr>
        <u/>
        <sz val="10"/>
        <color theme="1"/>
        <rFont val="TT Firs Neue Trl Light"/>
      </rPr>
      <t xml:space="preserve">Track and trace solutions for serialization and compliance.
</t>
    </r>
    <r>
      <rPr>
        <b/>
        <u/>
        <sz val="10"/>
        <color theme="1"/>
        <rFont val="TT Firs Neue Trl Light"/>
      </rPr>
      <t>SolarWinds SERV-U</t>
    </r>
    <r>
      <rPr>
        <u/>
        <sz val="10"/>
        <color theme="1"/>
        <rFont val="TT Firs Neue Trl Light"/>
      </rPr>
      <t>: Secure file transfer and sharing solution.</t>
    </r>
  </si>
  <si>
    <t>SA12</t>
  </si>
  <si>
    <t>Productivity, Communication and Collaboration Software</t>
  </si>
  <si>
    <t>HROPAL
ZOHO Travel and Expense
LMS 365: NewBridge Learning Management System</t>
  </si>
  <si>
    <t>Threats</t>
  </si>
  <si>
    <t>Impact on</t>
  </si>
  <si>
    <t>Impact</t>
  </si>
  <si>
    <t>ID</t>
  </si>
  <si>
    <t>Threat</t>
  </si>
  <si>
    <t>Linked-Assets</t>
  </si>
  <si>
    <t>Definition</t>
  </si>
  <si>
    <t>T01</t>
  </si>
  <si>
    <t>Data-Abuse of Right.</t>
  </si>
  <si>
    <t>Organization</t>
  </si>
  <si>
    <t xml:space="preserve">• PA1. Sensitive Data.
• PA2. Employee Data.
• PA3. Organizational/Technical Data
• PA4. Analytical Data
• PA7. Core Business Functions
• PA8 Customer-Facing Functions
</t>
  </si>
  <si>
    <t xml:space="preserve">Generally refers to situations where users or employees misuse their legitimate access rights to perform unauthorized actions which may expose the organization to legal or prosecution actions. </t>
  </si>
  <si>
    <t>X</t>
  </si>
  <si>
    <t>• Potential data breaches, 
• legal and financial penalties.
• Privacy violations, 
• Reputational damage.
• Intellectual property theft.
• Misuse of strategic insights and competitive disadvantage.
• Inaccurate financial reporting.</t>
  </si>
  <si>
    <t>T02</t>
  </si>
  <si>
    <t>External Denial of Service(DDOS)</t>
  </si>
  <si>
    <t>• PA1. Sensitive Data.
• PA7. Core Business Functions
• PA8 Customer-Facing Functions</t>
  </si>
  <si>
    <t xml:space="preserve">Type of attacks that may lead to service interruption. </t>
  </si>
  <si>
    <t>This attack could cause 
• Loss of customer trust,
• reputational damage.</t>
  </si>
  <si>
    <t>T03</t>
  </si>
  <si>
    <t>`Internal Denial of Service (DDOS)</t>
  </si>
  <si>
    <t>• PA1. Sensitive Data
• PA2. Employee Data.
• PA3. Organizational/Technical Data
• PA4. Analytical Data
• PA6. Core Business Functions</t>
  </si>
  <si>
    <t>This attack could cause 
• loss of customer trust and potential revenue loss, 
• significant operational disruption, 
• financial losses, 
• productivity impact.
• potential compliance issues,
• Difficulty in detecting and responding to security incidents.</t>
  </si>
  <si>
    <t>T04</t>
  </si>
  <si>
    <t>Data Corruption</t>
  </si>
  <si>
    <t>• SA1 Data Storage Systems
• SA2 Operational Systems</t>
  </si>
  <si>
    <t>Refers to errors in data that occur during writing, reading, storage, transmission, or processing of data, which may introduce unintended changes to the original data.</t>
  </si>
  <si>
    <t>This attack could cause significant operational disruption, financial losses, reputational damage, loss of customer trust, potential legal and financial penalties, and difficulty in incident detection and response.</t>
  </si>
  <si>
    <t>T05</t>
  </si>
  <si>
    <t>Information Disclosure</t>
  </si>
  <si>
    <t>• PA1. Sensitive Data.
• PA2. Employee Data.
• PA3. Organizational/Technical Data
• PA4. Analytical Data</t>
  </si>
  <si>
    <t>The loss of confidentiality resulting from disclosing information to unauthorized internal or external person or group of people.</t>
  </si>
  <si>
    <t>Information disclosure resulting in the loss of confidentiality can lead to sensitive data being accessed by unauthorized individuals or groups, potentially causing privacy violations, potential legal consequences and 
Operational disruption if the attack Compromised system configurations.</t>
  </si>
  <si>
    <t>T06</t>
  </si>
  <si>
    <t>Operational User Errors</t>
  </si>
  <si>
    <t xml:space="preserve">• SA4 Support Staff
• SA5 Operational Team </t>
  </si>
  <si>
    <t>Unintentional errors that could affect information availability, integrity or confidentiality.</t>
  </si>
  <si>
    <t>Operational user errors can unintentionally affect information availability, integrity, and confidentiality, leading to data loss, unauthorized access, or corruption of data, thereby compromising the reliability and security of the organization's information systems.</t>
  </si>
  <si>
    <t>T07</t>
  </si>
  <si>
    <t xml:space="preserve">Unauthorized Logical Access to data </t>
  </si>
  <si>
    <t>• PA1. Sensitive Data.
• PA2. Employee Data.
• PA3. Organizational/Technical Data
• PA4. Analytical Data
• Information Systems
• Software Assets</t>
  </si>
  <si>
    <t>Access to information without prior authorization which may affect information availability, integrity and/or confidentiality.</t>
  </si>
  <si>
    <t>Unauthorized access to information can compromise its availability, integrity, and confidentiality, leading to potential data breaches, loss of sensitive information, and disruption of services, which can severely impact the organization’s security and operational efficiency.</t>
  </si>
  <si>
    <t>T08</t>
  </si>
  <si>
    <t>Social Engineering</t>
  </si>
  <si>
    <t>• SA4 Support Staff
• SA5 Operational Staff</t>
  </si>
  <si>
    <t>Refers to psychological manipulation of people into performing actions or divulging confidential information without using automated tools.</t>
  </si>
  <si>
    <t>Social engineering involves psychological manipulation to trick individuals into divulging confidential information or performing actions that compromise security. This can lead to unauthorized access, data breaches, and significant harm to the organization's reputation and operations.</t>
  </si>
  <si>
    <t>T09</t>
  </si>
  <si>
    <t>Software- Abuse Use rights</t>
  </si>
  <si>
    <t>Software</t>
  </si>
  <si>
    <t>• Information Systems
• Software Assets</t>
  </si>
  <si>
    <t xml:space="preserve">
Abusing software use rights </t>
  </si>
  <si>
    <t xml:space="preserve">
Abusing software use rights can expose the NB-Pharma to legal liabilities and prosecution, potentially resulting in severe financial penalties, reputational damage, and operational disruptions due to non-compliance with licensing agreements and regulatory requirements.</t>
  </si>
  <si>
    <t>T10</t>
  </si>
  <si>
    <t xml:space="preserve">Malicious Code </t>
  </si>
  <si>
    <t>Any malicious code (virus, worm, trojan horse, spyware, etc.) that could affect software capabilities and the availability, integrity and/or confidentiality of the systems.</t>
  </si>
  <si>
    <t>Malicious code, such as viruses, worms, trojans, and spyware, can severely impair software capabilities, threatening its availability, integrity, and confidentiality. This can lead to data breaches, unauthorized access, and significant disruptions to business operations.</t>
  </si>
  <si>
    <t>T11</t>
  </si>
  <si>
    <t>System Failure</t>
  </si>
  <si>
    <t>• Information Systems</t>
  </si>
  <si>
    <t>Any failure or malfunction in software operation.</t>
  </si>
  <si>
    <t>System failure in software operation can lead to critical service outages, data corruption, and loss of functionality, severely impacting business processes, productivity, and user satisfaction.</t>
  </si>
  <si>
    <t>T12</t>
  </si>
  <si>
    <t xml:space="preserve">Abuse of License Management </t>
  </si>
  <si>
    <t>Any failure to monitor licenses.</t>
  </si>
  <si>
    <t>Failure to properly manage licenses can result in non-compliance with software agreements, leading to legal penalties, increased costs due to unlicensed software use, and potential disruptions in service due to sudden license expirations or restrictions.</t>
  </si>
  <si>
    <t>T13</t>
  </si>
  <si>
    <t>Unlicensed software use.</t>
  </si>
  <si>
    <t>Any failure of monitoring the installment of unlicensed software.</t>
  </si>
  <si>
    <t>Failure to monitor the installation of unlicensed software can lead to violations of intellectual property rights, exposing the organization to legal actions, financial penalties, and reputational damage, as well as compromising the security and integrity of IT systems.</t>
  </si>
  <si>
    <t>T14</t>
  </si>
  <si>
    <t>Unauthorized removal or disposal</t>
  </si>
  <si>
    <t>Hardware</t>
  </si>
  <si>
    <t>• Hardware Assets</t>
  </si>
  <si>
    <t>The removal or displacement of a hardware without the prior approval which may cause the lack of availability of a certain service.</t>
  </si>
  <si>
    <t>The unauthorized removal or disposal of hardware can lead to service disruptions and downtime, negatively impacting business operations and potentially resulting in financial losses and decreased customer trust.</t>
  </si>
  <si>
    <t>T15</t>
  </si>
  <si>
    <t>Hardware-Abuse of rights</t>
  </si>
  <si>
    <t>To abuse the hardware in a way which may expose the NB-Pharma to illigal actions by a user of unacceptable use.</t>
  </si>
  <si>
    <t>Hardware abuse of rights can result in severe consequences such as data breaches, unauthorized access to Nb-pharma network which lead to privacy violations, operational disruptions, intellectual property theft, and compromised system configurations,</t>
  </si>
  <si>
    <t>T16</t>
  </si>
  <si>
    <t>Power failure</t>
  </si>
  <si>
    <t>• Hardware Assets
• Facilities</t>
  </si>
  <si>
    <t>Loss of electricity, power, or any other resource to run the hardware.</t>
  </si>
  <si>
    <t>A power failure can lead to immediate hardware shutdowns, resulting in service interruptions, data loss, and potential damage to hardware components, severely impacting business availability.</t>
  </si>
  <si>
    <t>T17</t>
  </si>
  <si>
    <t>Physical &amp; Environmental disaster</t>
  </si>
  <si>
    <t>Physical and/or environmental threats that might cause harm or damage to hardware.</t>
  </si>
  <si>
    <t>Physical and environmental threats can cause significant damage to hardware, leading to data loss, extended downtime, and costly repairs or replacements, thereby severely disrupting business operations.</t>
  </si>
  <si>
    <t>T18</t>
  </si>
  <si>
    <t>Hardware Failure due to malfunction</t>
  </si>
  <si>
    <t xml:space="preserve">Any failure or malfunction in hardware operation. </t>
  </si>
  <si>
    <t>System failure, due to hardware malfunction, can result in critical service outages, data loss, and compromised business operations, necessitating immediate repair efforts and potentially incurring significant financial and reputational costs.</t>
  </si>
  <si>
    <t>T19</t>
  </si>
  <si>
    <t>Unauthorized Physical Access</t>
  </si>
  <si>
    <t>Site</t>
  </si>
  <si>
    <t>• Facilities</t>
  </si>
  <si>
    <t>Access to hardware without prior authorization, which may affect hardware availability and/or integrity.</t>
  </si>
  <si>
    <t xml:space="preserve">
Unauthorized access to hardware can compromise the availability and integrity of systems, leading to potential data breaches, service disruptions, and significant security vulnerabilities.</t>
  </si>
  <si>
    <t>T20</t>
  </si>
  <si>
    <t>NB-Pharma's property Theft</t>
  </si>
  <si>
    <t>The action of stealing or the taking of the NB-Pharma's property or services without its permission or consent.</t>
  </si>
  <si>
    <t>Theft involves the unauthorized taking of the organization's property or services, leading to financial losses, operational disruptions, and potentially compromising sensitive information, thereby affecting the organization's overall security and integrity.</t>
  </si>
  <si>
    <t>T21</t>
  </si>
  <si>
    <t>Web Site Defacement by External Attacker</t>
  </si>
  <si>
    <t>• Customer Facing Functions</t>
  </si>
  <si>
    <t>Defacement of website by external attacker</t>
  </si>
  <si>
    <t>Website defacement involves unauthorized alterations to a website's appearance, often replacing the original content with malicious or misleading information. This can damage the organization's reputation, undermine user trust, and potentially expose visitors to further security risks.</t>
  </si>
  <si>
    <t>T22</t>
  </si>
  <si>
    <t>Intentional Hacking</t>
  </si>
  <si>
    <t>• PA1. Sensitive Data.
• PA2. Employee Data.
• PA3. Organizational/Technical Data
• PA4. Analytical Data
• PA6. Core Business Functions
• PA7Customer Facing Functions</t>
  </si>
  <si>
    <t>Internall or external hacking of information systems</t>
  </si>
  <si>
    <t>Hacking involves unauthorized access to computer systems or networks, leading to potential data breaches, theft of sensitive information, service disruptions, and significant financial and reputational damage to the organization.</t>
  </si>
  <si>
    <t>T23</t>
  </si>
  <si>
    <t>Illegal Processing of Data</t>
  </si>
  <si>
    <t xml:space="preserve">• PA1. Sensitive Data.
• PA2. Employee Data.
• PA3. Organizational/Technical Data
• PA4. Analytical Data
• PA6. Core Business Functions
</t>
  </si>
  <si>
    <t>Processing data without prior approval from the organization.</t>
  </si>
  <si>
    <t xml:space="preserve">
Illegal processing of data, without organizational approval, can lead to significant legal repercussions, breach of regulatory compliance, and loss of trust. It also exposes the organization to potential data breaches and misuse of sensitive information.</t>
  </si>
  <si>
    <t>Impact Scale</t>
  </si>
  <si>
    <t>Very high</t>
  </si>
  <si>
    <t>The threat impact had resulted in information breach outside the organization and the organization had been exposed to legal, regulatory, financial loss. The impact has resulted in major legal / regulatory issues with major financial loss as well as reputational loss, and loss of clients.</t>
  </si>
  <si>
    <t>The threat impact had resulted in information breach outside the organization and the organization had been exposed to legal, regulatory, financial loss. The impact has resulted in recurring legal / regulatory issues with major financial loss and no reputational loss.</t>
  </si>
  <si>
    <t>Moderate</t>
  </si>
  <si>
    <t xml:space="preserve">The threat impact had resulted in information breach outside the organization and the organization had been exposed to legal, regulatory, financial loss. The impact has resulted in legal / regulatory issues with minor financial loss and no reputational loss.  </t>
  </si>
  <si>
    <t xml:space="preserve">The threat impact was intentional within the organization, or accidental and had led to some minor operational issues yet had been controlled. No legal, regulatory, or financial damage has occurred. The impact effects are limited to the operational and HR aspects of the organization, and customer service. </t>
  </si>
  <si>
    <t>Very low</t>
  </si>
  <si>
    <t xml:space="preserve">The threat impact was accidental and in within the organization. The information was not leaked outside the organization and is controlled. No legal, regulatory, or financial damage has occurred. The impact effects are limited to the operational and HR aspects of the organization. </t>
  </si>
  <si>
    <t>Probability/Likelihood Scale</t>
  </si>
  <si>
    <t>Almost Certain</t>
  </si>
  <si>
    <t>Almost Certain occurrence. Threat expected to occur on monthly basis.</t>
  </si>
  <si>
    <t>Likely</t>
  </si>
  <si>
    <t>Likely occurrence. Threat expected to occur once every 3 months (quarterly).</t>
  </si>
  <si>
    <t>Moderate likelihood of occurrence. Threat expected to occur once every 6 months.</t>
  </si>
  <si>
    <t>Unlikely</t>
  </si>
  <si>
    <t>Unlikely occurrence. Threat expected to occur once every year.</t>
  </si>
  <si>
    <t>Rare</t>
  </si>
  <si>
    <t xml:space="preserve">Rare occurrence. Threat is seldom to happen (once every many years). </t>
  </si>
  <si>
    <t>Risk Scoring Calculation</t>
  </si>
  <si>
    <t>Risk Value Range</t>
  </si>
  <si>
    <t>Risk Level</t>
  </si>
  <si>
    <t>Threat Score =</t>
  </si>
  <si>
    <t>(Impact + Probability) / 2</t>
  </si>
  <si>
    <t>19&gt;</t>
  </si>
  <si>
    <t>Very Low</t>
  </si>
  <si>
    <t>The risk is minimal and unlikely to cause significant impact or disruption.</t>
  </si>
  <si>
    <t xml:space="preserve">Inherent Risk Score= </t>
  </si>
  <si>
    <t xml:space="preserve">Asset Value * Threat Value * Vulnarability Value </t>
  </si>
  <si>
    <t>20 - 39</t>
  </si>
  <si>
    <t>The risk is relatively low but should be monitored and managed.</t>
  </si>
  <si>
    <t>40 - 59</t>
  </si>
  <si>
    <t>Medium</t>
  </si>
  <si>
    <t>The risk is moderate and could cause noticeable impact or disruption, requiring mitigation measures.</t>
  </si>
  <si>
    <t>60 - 79</t>
  </si>
  <si>
    <t>The risk is significant and could cause substantial impact or disruption, necessitating robust controls.</t>
  </si>
  <si>
    <t>80 - 100</t>
  </si>
  <si>
    <t>The risk is critical and could cause severe impact or disruption, requiring immediate and strong action.</t>
  </si>
  <si>
    <t>Risk Treatment Option</t>
  </si>
  <si>
    <t xml:space="preserve">Option </t>
  </si>
  <si>
    <t>Mitigate/Reduce the Risk</t>
  </si>
  <si>
    <t>Appropriate controls should be implemented to mitigate/reduce the information security risks to the level that have been identified as acceptable level by the approved NB-Pharma's information security risk management methodology. It is also important that security requirements should be considered which is related to that particular risk (i.e. the threats and vulnerabilities, legal and business requirements) at the time of control identification.</t>
  </si>
  <si>
    <t xml:space="preserve">Accept the Risk </t>
  </si>
  <si>
    <t>It is likely that some information security risks will exist for which either NB-Pharma cannot identify controls or for which the cost of implementing a control outweighs the potential loss through the information security risk occurring. In these cases, a decision may be made by NB-Pharma Cyber Security Steering Committee to accept the risk and live with the consequences, if the risk occurs. NB-Pharma Cyber Security Steering Committee should document these decisions, so that management is aware of its risk position, and can knowingly accept the risk.</t>
  </si>
  <si>
    <t>Transfer the Risk</t>
  </si>
  <si>
    <t xml:space="preserve">Risk transfer is an option where it is difficult, or it can be more economically for NB-Pharma to reduce or control the risk to an acceptable level, if transferred to a third party, (e.g. insurance or outsource company). </t>
  </si>
  <si>
    <t>Avoid the Risk</t>
  </si>
  <si>
    <t>Risk avoidance describes any action where the business activities or ways to conduct business are changed to avoid any risk occurring (e.g. stop a service). Avoiding information security risks should involve a decision by a risk owner to cancel or postpone an activity or project that introduces an unacceptable information security risk.</t>
  </si>
  <si>
    <t>Risk Analysis</t>
  </si>
  <si>
    <t>Risk Evaluation</t>
  </si>
  <si>
    <t xml:space="preserve">Risk Treatment </t>
  </si>
  <si>
    <t>Risk ID</t>
  </si>
  <si>
    <t>Threat scenario</t>
  </si>
  <si>
    <t>Assets</t>
  </si>
  <si>
    <t>Potential Vulnarability</t>
  </si>
  <si>
    <t>Implemented Control</t>
  </si>
  <si>
    <t>Risk Scenario/description</t>
  </si>
  <si>
    <t>Impacts</t>
  </si>
  <si>
    <t>Asset
Score</t>
  </si>
  <si>
    <t>Vulnarability Score</t>
  </si>
  <si>
    <t>Probability Score</t>
  </si>
  <si>
    <t>Impact 
Score</t>
  </si>
  <si>
    <t>Inherited Risk 
Score</t>
  </si>
  <si>
    <t xml:space="preserve">Risk 
Owner </t>
  </si>
  <si>
    <t xml:space="preserve">Treatment Option </t>
  </si>
  <si>
    <t>Action</t>
  </si>
  <si>
    <t>Score</t>
  </si>
  <si>
    <t>RT01</t>
  </si>
  <si>
    <t>• PA1. Sensitive Data.
• PA2. Employee Data.
• PA3. Organizational/Technical Data
• PA4. Analytical Data
• PA6. Core Business Functions</t>
  </si>
  <si>
    <t>• Weak access controls, 
• Inadequate RBAC, 
• Absence of segregation of duties
• Lack or poor user training
• Lack of monitoring and auditing.
• Lack of "Data-leak-Prevention" Solution.</t>
  </si>
  <si>
    <t>NB-Pharma has implemented "SOP-IT-03.02 IT Security Policy"  and SOP-IT-10.01 Acceptable Use of IT Resources_signed.</t>
  </si>
  <si>
    <t>An employe with excessive privileges could: 
• Misuse sensitive personal data.
• Manipulate Organizational/Technical documentation or configurations for personal gain or sabotage.
• Use insights from analytical data for unauthorized personal benefits.
• Change configurations to bypass security controls (If Administrator).
• Manipulate sales records to meet targets or gain bonuses.
• Alter NB-Pharma website content without proper authorization.</t>
  </si>
  <si>
    <t>RT02</t>
  </si>
  <si>
    <t>External Denial of Service (DDOS)</t>
  </si>
  <si>
    <r>
      <t xml:space="preserve">• </t>
    </r>
    <r>
      <rPr>
        <b/>
        <sz val="9"/>
        <color rgb="FF030D38"/>
        <rFont val="TT Firs Neue Trl Light"/>
      </rPr>
      <t>Insufficient Network Capacity:</t>
    </r>
    <r>
      <rPr>
        <sz val="9"/>
        <color rgb="FF030D38"/>
        <rFont val="TT Firs Neue Trl Light"/>
      </rPr>
      <t xml:space="preserve"> Lack of sufficient bandwidth or network resources to handle traffic spikes
</t>
    </r>
    <r>
      <rPr>
        <b/>
        <sz val="9"/>
        <color rgb="FF030D38"/>
        <rFont val="TT Firs Neue Trl Light"/>
      </rPr>
      <t>• Inadequate DDoS Protection:</t>
    </r>
    <r>
      <rPr>
        <sz val="9"/>
        <color rgb="FF030D38"/>
        <rFont val="TT Firs Neue Trl Light"/>
      </rPr>
      <t xml:space="preserve"> Lack of mechanisms to detect and mitigate Distributed Denial of Service (DDoS) attacks.</t>
    </r>
  </si>
  <si>
    <t>NB-Pharma dedicate 1Gbps Fiber connection .</t>
  </si>
  <si>
    <t xml:space="preserve">
A denial of service (DoS) attack can overwhelm system resources, leading to service interruptions and making critical services unavailable to legitimate users. This can cause significant operational disruptions, financial losses, and damage to the organization's reputation.</t>
  </si>
  <si>
    <t>RT03</t>
  </si>
  <si>
    <r>
      <rPr>
        <b/>
        <sz val="9"/>
        <color rgb="FF030D38"/>
        <rFont val="TT Firs Neue Trl Light"/>
      </rPr>
      <t>• Insufficient Network Capacity:</t>
    </r>
    <r>
      <rPr>
        <sz val="9"/>
        <color rgb="FF030D38"/>
        <rFont val="TT Firs Neue Trl Light"/>
      </rPr>
      <t xml:space="preserve"> Lack of sufficient bandwidth or network resources to handle traffic spikes
• </t>
    </r>
    <r>
      <rPr>
        <b/>
        <sz val="9"/>
        <color rgb="FF030D38"/>
        <rFont val="TT Firs Neue Trl Light"/>
      </rPr>
      <t>Weak Network Architecture:</t>
    </r>
    <r>
      <rPr>
        <sz val="9"/>
        <color rgb="FF030D38"/>
        <rFont val="TT Firs Neue Trl Light"/>
      </rPr>
      <t xml:space="preserve"> Poorly designed network architecture that cannot handle excessive traffic or attacks.
• </t>
    </r>
    <r>
      <rPr>
        <b/>
        <sz val="9"/>
        <color rgb="FF030D38"/>
        <rFont val="TT Firs Neue Trl Light"/>
      </rPr>
      <t>Vulnerable Applications:</t>
    </r>
    <r>
      <rPr>
        <sz val="9"/>
        <color rgb="FF030D38"/>
        <rFont val="TT Firs Neue Trl Light"/>
      </rPr>
      <t xml:space="preserve"> Applications that can be easily overwhelmed by high volumes of requests.
</t>
    </r>
    <r>
      <rPr>
        <b/>
        <sz val="9"/>
        <color rgb="FF030D38"/>
        <rFont val="TT Firs Neue Trl Light"/>
      </rPr>
      <t>• Lack of Redundancy:</t>
    </r>
    <r>
      <rPr>
        <sz val="9"/>
        <color rgb="FF030D38"/>
        <rFont val="TT Firs Neue Trl Light"/>
      </rPr>
      <t xml:space="preserve"> Single points of failure in the infrastructure.
</t>
    </r>
    <r>
      <rPr>
        <b/>
        <sz val="9"/>
        <color rgb="FF030D38"/>
        <rFont val="TT Firs Neue Trl Light"/>
      </rPr>
      <t>• Inadequate Monitoring:</t>
    </r>
    <r>
      <rPr>
        <sz val="9"/>
        <color rgb="FF030D38"/>
        <rFont val="TT Firs Neue Trl Light"/>
      </rPr>
      <t xml:space="preserve"> Insufficient monitoring to detect and respond to traffic anomalies.
</t>
    </r>
    <r>
      <rPr>
        <b/>
        <sz val="9"/>
        <color rgb="FF030D38"/>
        <rFont val="TT Firs Neue Trl Light"/>
      </rPr>
      <t>Lack of load balancing</t>
    </r>
    <r>
      <rPr>
        <sz val="9"/>
        <color rgb="FF030D38"/>
        <rFont val="TT Firs Neue Trl Light"/>
      </rPr>
      <t xml:space="preserve"> to distribute traffic evenly across servers.
</t>
    </r>
    <r>
      <rPr>
        <b/>
        <sz val="9"/>
        <color rgb="FF030D38"/>
        <rFont val="TT Firs Neue Trl Light"/>
      </rPr>
      <t>Lack of real-time network traffic monitoring tools.</t>
    </r>
  </si>
  <si>
    <t>NB-Pharma is regularly patch application and systems's security vulnarabilities.</t>
  </si>
  <si>
    <t>A Denial of Service (DoS) attack, where an attacker/user floods the network with excessive traffic, could overwhelm the organization's network and systems, disrupting business-critical applications (like SAP, CRM and Inventory Management), 
• preventing access to sensitive data (such as PII data) needed for compliance and customer support, 
• Slow internal systems managing employee data, 
• delaying access to technical documentation and configurations, 
• overwhelming authentication services.</t>
  </si>
  <si>
    <t>RT04</t>
  </si>
  <si>
    <r>
      <rPr>
        <b/>
        <sz val="9"/>
        <color rgb="FF030D38"/>
        <rFont val="TT Firs Neue Trl Light"/>
      </rPr>
      <t>• Lack of Regular Backups:</t>
    </r>
    <r>
      <rPr>
        <sz val="9"/>
        <color rgb="FF030D38"/>
        <rFont val="TT Firs Neue Trl Light"/>
      </rPr>
      <t xml:space="preserve"> Infrequent or poorly managed data backups.
</t>
    </r>
    <r>
      <rPr>
        <b/>
        <sz val="9"/>
        <color rgb="FF030D38"/>
        <rFont val="TT Firs Neue Trl Light"/>
      </rPr>
      <t>• Weak Endpoint Security:</t>
    </r>
    <r>
      <rPr>
        <sz val="9"/>
        <color rgb="FF030D38"/>
        <rFont val="TT Firs Neue Trl Light"/>
      </rPr>
      <t xml:space="preserve"> Insufficient anti-malware protection on user devices.
</t>
    </r>
    <r>
      <rPr>
        <b/>
        <sz val="9"/>
        <color rgb="FF030D38"/>
        <rFont val="TT Firs Neue Trl Light"/>
      </rPr>
      <t>• Phishing Susceptibility:</t>
    </r>
    <r>
      <rPr>
        <sz val="9"/>
        <color rgb="FF030D38"/>
        <rFont val="TT Firs Neue Trl Light"/>
      </rPr>
      <t xml:space="preserve"> Employees vulnerable to phishing attacks and  not adequately trained on security best practices.
</t>
    </r>
    <r>
      <rPr>
        <b/>
        <sz val="9"/>
        <color rgb="FF030D38"/>
        <rFont val="TT Firs Neue Trl Light"/>
      </rPr>
      <t>• Inadequate Patch Management:</t>
    </r>
    <r>
      <rPr>
        <sz val="9"/>
        <color rgb="FF030D38"/>
        <rFont val="TT Firs Neue Trl Light"/>
      </rPr>
      <t xml:space="preserve"> Systems not regularly updated with security patches.
</t>
    </r>
    <r>
      <rPr>
        <b/>
        <sz val="9"/>
        <color rgb="FF030D38"/>
        <rFont val="TT Firs Neue Trl Light"/>
      </rPr>
      <t>• Inadequate Data Validation.</t>
    </r>
    <r>
      <rPr>
        <sz val="9"/>
        <color rgb="FF030D38"/>
        <rFont val="TT Firs Neue Trl Light"/>
      </rPr>
      <t xml:space="preserve"> </t>
    </r>
  </si>
  <si>
    <t>• Regular backups of  data are taken and stored both locally and on Azure Cloud Services.
•  NB-pharma system are regularly patched.</t>
  </si>
  <si>
    <t>Ransomware attacks encrypt or corrupt critical data across multiple systems by a phishing attack or by exploitation a vulnerability within the information systems, affecting all NB-Pharma Primary assets leading to severe operational disruption.
Or  errors in data that occur during writing, reading, storage, transmission, or processing of data, which may introduce unintended changes to the original data.</t>
  </si>
  <si>
    <t>RT05</t>
  </si>
  <si>
    <t>•  PA1. Sensitive Data.
• PA2. Employee Data.
• PA3. Organizational/Technical Data
• PA4. Analytical Data</t>
  </si>
  <si>
    <t>Unpatched  vulnerabilities in published applications or services 
Third-party software vulnerabilities may expose organizational and technical data to unauthorized access or exploitation.
Insecure API integration  
Absence of sensitive Data-Masking  controls during the development and testing.</t>
  </si>
  <si>
    <t>•  NB-pharma system are regularly patched.</t>
  </si>
  <si>
    <t>Vulnerabilities in published service/applications can be exploited to gain unauthorized access to sensitive data stored or processed by these applications.</t>
  </si>
  <si>
    <t>RT06</t>
  </si>
  <si>
    <t>Users did not receive adequate training on the platforms assigned to them.</t>
  </si>
  <si>
    <t>There is a change management procedure in place to handle changes.
Regular backups of  data are taken and stored both locally and on Azure Cloud Services.</t>
  </si>
  <si>
    <t>Operational user errors can cause unintended disruptions in both hardware and software services, leading to downtime, system crashes, data loss, data corruption, and reduced system reliability and functionality. These disruptions can affect information availability, integrity, and confidentiality, leading to unauthorized access or compromised data security, ultimately impacting overall productivity, operational efficiency, and the reliability and security of the organization's information systems.</t>
  </si>
  <si>
    <t>RT07</t>
  </si>
  <si>
    <t xml:space="preserve">Weak authentication mechanisms, poor access control policies allowing users to access data beyond their requirements.
Lack of regular reviews of user access rights.
Weak or reused passwords that can be easily guessed or cracked.
Poor Network segmentation </t>
  </si>
  <si>
    <t>There are password Complexity requirements, passwords change every 180 days.
MFA is implemented on all users.
All users are assigned a User ID on Active directory</t>
  </si>
  <si>
    <t>Unauthorized users exploit weak authentication mechanisms, poor access control policies, inadequate password management, and insufficient logging and monitoring to gain unauthorized access to sensitive data, employee data, organizational/technical data, analytical data, administrative data, logging data.</t>
  </si>
  <si>
    <t>RT08</t>
  </si>
  <si>
    <t xml:space="preserve">Lack of ability to identify and report fake websites and Social Media Pages 
Insufficient training on how to recognize and respond to social engineering attempts.
</t>
  </si>
  <si>
    <t>Corporate email is protected against attacks and threats that comes through email using Microsoft Office 365 Advanced Threat Protection 
(ATP).</t>
  </si>
  <si>
    <t>Social engineering involves manipulation to trick individuals into divulging confidential information or performing actions that compromise security. This can lead to unauthorized access, data breaches, and significant harm to the organization's reputation and operations.</t>
  </si>
  <si>
    <t>RT09</t>
  </si>
  <si>
    <t>No centralized system to track software licenses and usage.
Lack of training on the legal implications of software misuse.</t>
  </si>
  <si>
    <t xml:space="preserve">The acceptable use of IT resources is documented to ensure all users understand and comply with organizational policies.
</t>
  </si>
  <si>
    <t>Abusing software use rights can expose the NB-Pharma to legal liabilities and prosecution, potentially resulting in severe financial penalties, reputational damage, and operational disruptions due to non-compliance with licensing agreements and regulatory requirements.</t>
  </si>
  <si>
    <t>RT10</t>
  </si>
  <si>
    <t>Malicious Code</t>
  </si>
  <si>
    <t>Computer users are allowed to insert removable media devices to their PCs.
Users are allowed to bring their own computers and connect them to the local network.
Intrusion Detection and Prevention Systems (IDS/IPS) are not implemented effectively to detect malicious attacks.
Employees unaware of the risks and signs of malicious code.</t>
  </si>
  <si>
    <t>Antivirus software is installed and activated on all the laptops and servers and updated frequently online. 
Patches are performed regularly</t>
  </si>
  <si>
    <t>Malicious code, such as viruses, worms, trojans, and spyware, can severely impair software capabilities, jeopardizing its availability, integrity, and confidentiality. This can lead to data breaches, unauthorized access, and significant disruptions to business operations.</t>
  </si>
  <si>
    <t>RT11</t>
  </si>
  <si>
    <t xml:space="preserve">Inconsistent or undocumented system configurations standard.
Absence of regular hardening.
Lack of regular patching.
Lack of systems redundancy. 
Lack of version control for system configurations.
</t>
  </si>
  <si>
    <t>Regular backups of  data are taken and stored both locally and on Azure Cloud Services
There is a change management procedure in place to handle changes.</t>
  </si>
  <si>
    <t>Due to incompatible updates, malware, Incorrect configuration changes or even bugs in the software, the system may crashes, becomes unresponsive or  cause unexpected behavior which may lead to complete system downtime, loss of unsaved work and Service outages.</t>
  </si>
  <si>
    <t>RT12</t>
  </si>
  <si>
    <t>License Management</t>
  </si>
  <si>
    <t>Lack of centralized license tracking system</t>
  </si>
  <si>
    <t>The software provided on NewBridge computers is licensed, tested, approved, and supported by NewBridge IT Department
NB-Pharma IT department developed an maitain inventory of in place licenses (NBP - Licenses and Subscriptions).</t>
  </si>
  <si>
    <t>RT13</t>
  </si>
  <si>
    <t>Unauthorized Software Installations.
Lack of Employee Awareness and Training.
Users can install software without prior approval from IT.
Lack of Priodic IT Audit on the softwar assets.</t>
  </si>
  <si>
    <t>The acceptable use of IT resources is documented to ensure all users understand and comply with organizational policies.</t>
  </si>
  <si>
    <t>Unlicensed software often lacks critical updates and patches, making it more susceptible to malware, viruses, and other cyber threats leading to frequent crashes, performance issues, and data loss. Also Unlicensed software can contain malware or backdoors designed to steal proprietary data or other sensitive information.
In addition, software vendors or regulatory bodies, my apply potential legal action on NB-Pharma if found using unlicensed software.</t>
  </si>
  <si>
    <t>RT14</t>
  </si>
  <si>
    <t>Lack of logging mechanisms for tracking hardware movement.
No predefined procedures for responding to unauthorized hardware removal.</t>
  </si>
  <si>
    <t xml:space="preserve">All doors are secured by face recognition and card Access Control and monitored by CCTV.
A formal disposal procedure is in place to ensure the secure and compliant disposal of IT assets and sensitive data. </t>
  </si>
  <si>
    <t>RT15</t>
  </si>
  <si>
    <t xml:space="preserve">Lack of secure network access controls
The Absence of continuous monitoring controls to detect connected devices,  
Lack of restricted policies for removable devices. </t>
  </si>
  <si>
    <t xml:space="preserve">All doors are secured by face recognition and card Access Control and monitored by CCTV.
The acceptable use of IT resources is documented to ensure all users understand and comply with organizational policies.
</t>
  </si>
  <si>
    <t>Insiders or external attackers physically tamper with hardware components, such as planting keyloggers or other malicious devices.
Or  install unauthorized hardware, such as personal devices or external storage, on the organization's network which Introduce malware, unauthorized data transfers, network security breaches, and potential legal issues related to data protection regulations.</t>
  </si>
  <si>
    <t>RT16</t>
  </si>
  <si>
    <t>There is no 24X7 monitoring of environmental controls.
There are no current regulators in the facility
No surge protectors or voltage regulators for critical hardware.
Absence of regular review or audits is physical protection controls</t>
  </si>
  <si>
    <t>An Uninterruptible Power Supply (UPS) system has been implemented to ensure the continuity of critical operations during power interruptions. 
Server room has a dedicated electricity switch board, Each server inside the rack has two power supplies</t>
  </si>
  <si>
    <t>Power failure can lead to immediate hardware shutdowns, resulting in service interruptions, data loss, and potential damage to hardware components, severely impacting business availability. The shutdown of essential equipment can reduce productivity, have significant financial implications, and affect the organization's ability to meet its operational and customer commitments.</t>
  </si>
  <si>
    <t>RT17</t>
  </si>
  <si>
    <t>Physical &amp; Environmental  disaster</t>
  </si>
  <si>
    <t>• Hardware Assets
• Facilities
• Personel</t>
  </si>
  <si>
    <t>Infrequent inspections and maintenance of building infrastructure.
Lack of hardware locks or enclosures.
No clear evacuation plans or emergency response procedures.
Lack of regular drills and training for employees.
Insufficient communication channels for emergencies.</t>
  </si>
  <si>
    <t xml:space="preserve">NB-Pharma IT Department developed business continuaty plan (SOP-IT-01.02 Business Continuity Plan).
An Uninterruptible Power Supply (UPS) system has been implemented to ensure the continuity of critical operations during power interruptions. </t>
  </si>
  <si>
    <t>Physical and environmental threats can cause significant damage to hardware, leading to data loss, extended downtime, and costly repairs or replacements, thereby severely disrupting business operations and can also pose significant risks to people's safety, potentially causing injuries or fatalities</t>
  </si>
  <si>
    <t>RT18</t>
  </si>
  <si>
    <t>Hardware Failure Hardware Failure due to malfunction</t>
  </si>
  <si>
    <t xml:space="preserve">No redundant systems in place to take over in case of hardware failure.
Absence of failover mechanisms and load balancing.
Absence of hardware monitoring.
Abcense of Hardware assets inventory.
</t>
  </si>
  <si>
    <t>All Servers, Storage, Backup server, Network storage, Network Electronics are under maintenance agreement 24x7 4 hours response NBD (next business day replacement) for any faulty hardware.
Regular backups of  data are taken and stored both locally and on Azure Cloud Services.</t>
  </si>
  <si>
    <t>RT19</t>
  </si>
  <si>
    <t xml:space="preserve">Lack of periodic reviews and audits of access permissions.
Lack of hardware enclosures or lockable racks.
No use of tamper-evident seals or devices.
</t>
  </si>
  <si>
    <t>All doors are secured by face recognition and card Access Control and monitored by CCTV.
The server room is equipped with three dedicated racks to ensure organized and efficient management of IT infrastructure.</t>
  </si>
  <si>
    <t>Unauthorized access to hardware can compromise the availability and integrity of systems, leading to potential data breaches, service disruptions, and significant security vulnerabilities.</t>
  </si>
  <si>
    <t>RT20</t>
  </si>
  <si>
    <t>Lack of Physical detictive controls.
Lack of encryption and protection for sensitive information stored on physical devices
Inadequate monitoring of employee activities and behavior.</t>
  </si>
  <si>
    <t>All doors are secured by face recognition and card Access Control and monitored by CCTV</t>
  </si>
  <si>
    <t>RT21</t>
  </si>
  <si>
    <t>• PA7 Customer Facing Functions</t>
  </si>
  <si>
    <t xml:space="preserve">Web Application Firewalls (WAFs) are not implemented effectively
Intrusion Detection and Prevention Systems (IDS/IPS) are not implemented effectively.
Integrity Checkers are not implemented to detect unauthorized changes
Website and published services are not subjected to periodic Penetration tests
Detective controls are not monitored 24X7
Vulnerabilities in third-party plugins or integrations that are not regularly updated.
</t>
  </si>
  <si>
    <t>None</t>
  </si>
  <si>
    <t>RT22</t>
  </si>
  <si>
    <t>Information Systems not subjected to periodic penetration tests
Intrusion Detection and Prevention Systems (IDS/IPS) are not implemented effectively to detect malicious attacks
Systems are not protected by integrity checkers to detect changes.</t>
  </si>
  <si>
    <t>Remote sites have site to site VPN
Hikvision is used for access control biometric.
A Fortinet firewall is deployed to provide robust security and protect the organization's network from external threats and unauthorized access.</t>
  </si>
  <si>
    <t>RT23</t>
  </si>
  <si>
    <t>Employees have not been made aware of legal and regulatory requirements for data processing.
Lack of encryption and protection for sensitive data during processing.</t>
  </si>
  <si>
    <t>Illegal processing of data, without organizational approval, can lead to significant legal repercussions, breach of regulatory compliance, and loss of trust. It also exposes the organization to potential data breaches and misuse of sensitive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</si>
</sst>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ptos Narrow"/>
      <family val="2"/>
      <scheme val="minor"/>
    </font>
    <font>
      <sz val="11"/>
      <color rgb="FF000000"/>
      <name val="Arial"/>
      <family val="2"/>
      <charset val="238"/>
    </font>
    <font>
      <sz val="11"/>
      <color rgb="FFFF0000"/>
      <name val="Arial"/>
      <family val="2"/>
      <charset val="238"/>
    </font>
    <font>
      <sz val="11"/>
      <color rgb="FFFFFFFF"/>
      <name val="Arial"/>
      <family val="2"/>
      <charset val="238"/>
    </font>
    <font>
      <b/>
      <sz val="12"/>
      <color rgb="FF0A005C"/>
      <name val="TT Firs Neue Trl Light"/>
    </font>
    <font>
      <b/>
      <sz val="12"/>
      <color rgb="FF373E49"/>
      <name val="TT Firs Neue Trl Light"/>
    </font>
    <font>
      <b/>
      <sz val="12"/>
      <color rgb="FF373E49"/>
      <name val="Arial"/>
      <family val="2"/>
      <charset val="238"/>
    </font>
    <font>
      <b/>
      <sz val="12"/>
      <color rgb="FFFFFFFF"/>
      <name val="TT Firs Neue Trl Light"/>
    </font>
    <font>
      <b/>
      <sz val="12"/>
      <color theme="0"/>
      <name val="TT Firs Neue Trl Light"/>
    </font>
    <font>
      <b/>
      <sz val="10"/>
      <name val="TT Firs Neue Trl Light"/>
    </font>
    <font>
      <sz val="10"/>
      <color rgb="FF000000"/>
      <name val="TT Firs Neue Trl Light"/>
    </font>
    <font>
      <b/>
      <sz val="11"/>
      <color theme="0"/>
      <name val="TT Firs Neue Trl Light"/>
    </font>
    <font>
      <b/>
      <sz val="10"/>
      <color theme="0"/>
      <name val="TT Firs Neue Trl Light"/>
    </font>
    <font>
      <b/>
      <sz val="11"/>
      <color theme="1"/>
      <name val="TT Firs Neue Trl Light"/>
    </font>
    <font>
      <b/>
      <sz val="10"/>
      <color theme="1"/>
      <name val="TT Firs Neue Trl Light"/>
    </font>
    <font>
      <sz val="10"/>
      <color theme="1"/>
      <name val="TT Firs Neue Trl Light"/>
    </font>
    <font>
      <sz val="10"/>
      <color theme="1"/>
      <name val="TT Firs Neue Trl"/>
    </font>
    <font>
      <sz val="10"/>
      <color theme="0"/>
      <name val="TT Firs Neue Trl"/>
    </font>
    <font>
      <sz val="9"/>
      <color rgb="FF030D38"/>
      <name val="TT Firs Neue Trl Light"/>
    </font>
    <font>
      <sz val="10"/>
      <color rgb="FF030D38"/>
      <name val="TT Firs Neue Trl Light"/>
    </font>
    <font>
      <sz val="9"/>
      <color rgb="FFFFFFFF"/>
      <name val="TT Firs Neue Trl Light"/>
    </font>
    <font>
      <sz val="9"/>
      <color rgb="FF000000"/>
      <name val="TT Firs Neue Trl Light"/>
    </font>
    <font>
      <sz val="8"/>
      <name val="Aptos Narrow"/>
      <family val="2"/>
      <scheme val="minor"/>
    </font>
    <font>
      <b/>
      <sz val="14"/>
      <color theme="0"/>
      <name val="TT Firs Neue Trl Light"/>
    </font>
    <font>
      <b/>
      <sz val="9"/>
      <color rgb="FF030D38"/>
      <name val="TT Firs Neue Trl Light"/>
    </font>
    <font>
      <sz val="11"/>
      <color theme="0"/>
      <name val="TT Firs Neue Trl Light"/>
    </font>
    <font>
      <b/>
      <u/>
      <sz val="10"/>
      <color theme="1"/>
      <name val="TT Firs Neue Trl Light"/>
    </font>
    <font>
      <u/>
      <sz val="10"/>
      <color theme="1"/>
      <name val="TT Firs Neue Trl Light"/>
    </font>
    <font>
      <sz val="18"/>
      <color theme="1"/>
      <name val="TT Firs Neue Trl DemiBold"/>
    </font>
    <font>
      <b/>
      <sz val="9"/>
      <color rgb="FFFFFFFF"/>
      <name val="TT Firs Neue Trl Light"/>
    </font>
    <font>
      <b/>
      <sz val="9"/>
      <color rgb="FF000000"/>
      <name val="TT Firs Neue Trl Light"/>
    </font>
    <font>
      <sz val="11"/>
      <color theme="1"/>
      <name val="TT Firs Neue Trl Light"/>
    </font>
    <font>
      <b/>
      <sz val="9"/>
      <color theme="1"/>
      <name val="TT Firs Neue Trl Light"/>
    </font>
    <font>
      <b/>
      <sz val="16"/>
      <color theme="0"/>
      <name val="TT Firs Neue Trl DemiBold"/>
    </font>
  </fonts>
  <fills count="17">
    <fill>
      <patternFill patternType="none"/>
    </fill>
    <fill>
      <patternFill patternType="gray125"/>
    </fill>
    <fill>
      <patternFill patternType="solid">
        <fgColor theme="0" tint="-4.9989318521683403E-2"/>
        <bgColor indexed="64"/>
      </patternFill>
    </fill>
    <fill>
      <patternFill patternType="solid">
        <fgColor rgb="FFFFFFFF"/>
        <bgColor rgb="FFFFFFFF"/>
      </patternFill>
    </fill>
    <fill>
      <patternFill patternType="solid">
        <fgColor rgb="FFF70159"/>
        <bgColor indexed="64"/>
      </patternFill>
    </fill>
    <fill>
      <patternFill patternType="solid">
        <fgColor rgb="FFF70159"/>
        <bgColor rgb="FF2D3982"/>
      </patternFill>
    </fill>
    <fill>
      <patternFill patternType="solid">
        <fgColor rgb="FF0A005C"/>
        <bgColor rgb="FF00B8AD"/>
      </patternFill>
    </fill>
    <fill>
      <patternFill patternType="solid">
        <fgColor rgb="FF0A005C"/>
        <bgColor indexed="64"/>
      </patternFill>
    </fill>
    <fill>
      <patternFill patternType="solid">
        <fgColor rgb="FFC00000"/>
        <bgColor indexed="64"/>
      </patternFill>
    </fill>
    <fill>
      <patternFill patternType="solid">
        <fgColor rgb="FFFF0000"/>
        <bgColor indexed="64"/>
      </patternFill>
    </fill>
    <fill>
      <patternFill patternType="solid">
        <fgColor rgb="FF030D38"/>
        <bgColor indexed="64"/>
      </patternFill>
    </fill>
    <fill>
      <patternFill patternType="solid">
        <fgColor rgb="FFFFFFFF"/>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theme="0" tint="-0.14999847407452621"/>
        <bgColor indexed="64"/>
      </patternFill>
    </fill>
  </fills>
  <borders count="30">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hair">
        <color rgb="FFF70159"/>
      </left>
      <right style="hair">
        <color rgb="FFF70159"/>
      </right>
      <top style="hair">
        <color rgb="FFF70159"/>
      </top>
      <bottom style="hair">
        <color rgb="FFF70159"/>
      </bottom>
      <diagonal/>
    </border>
    <border>
      <left style="hair">
        <color rgb="FFF70159"/>
      </left>
      <right/>
      <top style="hair">
        <color rgb="FFF70159"/>
      </top>
      <bottom style="hair">
        <color rgb="FFF70159"/>
      </bottom>
      <diagonal/>
    </border>
    <border>
      <left/>
      <right/>
      <top style="hair">
        <color rgb="FFF70159"/>
      </top>
      <bottom style="hair">
        <color rgb="FFF70159"/>
      </bottom>
      <diagonal/>
    </border>
    <border>
      <left/>
      <right style="hair">
        <color rgb="FFF70159"/>
      </right>
      <top style="hair">
        <color rgb="FFF70159"/>
      </top>
      <bottom style="hair">
        <color rgb="FFF7015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dotted">
        <color rgb="FFF70159"/>
      </left>
      <right style="dotted">
        <color rgb="FFF70159"/>
      </right>
      <top style="dotted">
        <color rgb="FFF70159"/>
      </top>
      <bottom style="dotted">
        <color rgb="FFF70159"/>
      </bottom>
      <diagonal/>
    </border>
    <border>
      <left/>
      <right style="dotted">
        <color rgb="FFF70159"/>
      </right>
      <top style="dotted">
        <color rgb="FFF70159"/>
      </top>
      <bottom style="dotted">
        <color rgb="FFF70159"/>
      </bottom>
      <diagonal/>
    </border>
    <border>
      <left style="dotted">
        <color rgb="FFF70159"/>
      </left>
      <right style="dotted">
        <color rgb="FFF70159"/>
      </right>
      <top/>
      <bottom style="dotted">
        <color rgb="FFF70159"/>
      </bottom>
      <diagonal/>
    </border>
    <border>
      <left/>
      <right style="dotted">
        <color rgb="FFF70159"/>
      </right>
      <top/>
      <bottom style="dotted">
        <color rgb="FFF70159"/>
      </bottom>
      <diagonal/>
    </border>
    <border>
      <left/>
      <right/>
      <top/>
      <bottom style="dotted">
        <color rgb="FFF70159"/>
      </bottom>
      <diagonal/>
    </border>
    <border>
      <left style="hair">
        <color rgb="FFF70159"/>
      </left>
      <right/>
      <top style="hair">
        <color rgb="FFF70159"/>
      </top>
      <bottom style="dotted">
        <color rgb="FFF70159"/>
      </bottom>
      <diagonal/>
    </border>
    <border>
      <left/>
      <right/>
      <top style="hair">
        <color rgb="FFF70159"/>
      </top>
      <bottom style="dotted">
        <color rgb="FFF70159"/>
      </bottom>
      <diagonal/>
    </border>
    <border>
      <left/>
      <right style="hair">
        <color rgb="FFF70159"/>
      </right>
      <top style="hair">
        <color rgb="FFF70159"/>
      </top>
      <bottom style="dotted">
        <color rgb="FFF70159"/>
      </bottom>
      <diagonal/>
    </border>
    <border>
      <left style="dotted">
        <color rgb="FFF70159"/>
      </left>
      <right style="dotted">
        <color rgb="FFF70159"/>
      </right>
      <top style="dotted">
        <color rgb="FFF70159"/>
      </top>
      <bottom/>
      <diagonal/>
    </border>
    <border>
      <left/>
      <right/>
      <top style="dotted">
        <color rgb="FFF70159"/>
      </top>
      <bottom style="dotted">
        <color rgb="FFF70159"/>
      </bottom>
      <diagonal/>
    </border>
    <border>
      <left style="dotted">
        <color rgb="FFF70159"/>
      </left>
      <right/>
      <top style="dotted">
        <color rgb="FFF70159"/>
      </top>
      <bottom style="dotted">
        <color rgb="FFF70159"/>
      </bottom>
      <diagonal/>
    </border>
    <border>
      <left style="hair">
        <color rgb="FFF70159"/>
      </left>
      <right style="hair">
        <color rgb="FFF70159"/>
      </right>
      <top style="hair">
        <color rgb="FFF70159"/>
      </top>
      <bottom/>
      <diagonal/>
    </border>
    <border>
      <left/>
      <right style="hair">
        <color rgb="FFF70159"/>
      </right>
      <top/>
      <bottom/>
      <diagonal/>
    </border>
    <border>
      <left/>
      <right/>
      <top/>
      <bottom style="hair">
        <color rgb="FFF70159"/>
      </bottom>
      <diagonal/>
    </border>
    <border>
      <left style="hair">
        <color rgb="FFF70159"/>
      </left>
      <right style="hair">
        <color rgb="FFF70159"/>
      </right>
      <top/>
      <bottom style="hair">
        <color rgb="FFF70159"/>
      </bottom>
      <diagonal/>
    </border>
    <border>
      <left style="thin">
        <color rgb="FFF70159"/>
      </left>
      <right/>
      <top/>
      <bottom style="hair">
        <color rgb="FFF70159"/>
      </bottom>
      <diagonal/>
    </border>
    <border>
      <left style="thin">
        <color rgb="FFF70159"/>
      </left>
      <right style="dotted">
        <color rgb="FFF70159"/>
      </right>
      <top style="hair">
        <color rgb="FFF70159"/>
      </top>
      <bottom style="dotted">
        <color rgb="FFF70159"/>
      </bottom>
      <diagonal/>
    </border>
    <border>
      <left style="hair">
        <color rgb="FFF70159"/>
      </left>
      <right/>
      <top/>
      <bottom/>
      <diagonal/>
    </border>
    <border>
      <left style="thin">
        <color rgb="FFF70159"/>
      </left>
      <right/>
      <top/>
      <bottom/>
      <diagonal/>
    </border>
  </borders>
  <cellStyleXfs count="1">
    <xf numFmtId="0" fontId="0" fillId="0" borderId="0"/>
  </cellStyleXfs>
  <cellXfs count="140">
    <xf numFmtId="0" fontId="0" fillId="0" borderId="0" xfId="0"/>
    <xf numFmtId="0" fontId="0" fillId="0" borderId="0" xfId="0" applyAlignment="1">
      <alignment horizontal="left" vertical="top"/>
    </xf>
    <xf numFmtId="0" fontId="0" fillId="0" borderId="0" xfId="0" applyAlignment="1">
      <alignment vertical="top"/>
    </xf>
    <xf numFmtId="0" fontId="1" fillId="3" borderId="1" xfId="0" applyFont="1" applyFill="1" applyBorder="1"/>
    <xf numFmtId="0" fontId="1" fillId="3" borderId="0" xfId="0" applyFont="1" applyFill="1"/>
    <xf numFmtId="0" fontId="1" fillId="3" borderId="2" xfId="0" applyFont="1" applyFill="1" applyBorder="1"/>
    <xf numFmtId="0" fontId="1" fillId="3" borderId="0" xfId="0" applyFont="1" applyFill="1" applyAlignment="1">
      <alignment horizontal="left"/>
    </xf>
    <xf numFmtId="0" fontId="1" fillId="3" borderId="0" xfId="0" applyFont="1" applyFill="1" applyAlignment="1">
      <alignment vertical="center"/>
    </xf>
    <xf numFmtId="0" fontId="2" fillId="3" borderId="0" xfId="0" applyFont="1" applyFill="1" applyAlignment="1">
      <alignment horizontal="left" vertical="center"/>
    </xf>
    <xf numFmtId="0" fontId="1" fillId="3" borderId="0" xfId="0" applyFont="1" applyFill="1" applyAlignment="1">
      <alignment horizontal="right" vertical="center"/>
    </xf>
    <xf numFmtId="0" fontId="1" fillId="3" borderId="3" xfId="0" applyFont="1" applyFill="1" applyBorder="1"/>
    <xf numFmtId="0" fontId="3" fillId="3" borderId="4" xfId="0" applyFont="1" applyFill="1" applyBorder="1"/>
    <xf numFmtId="0" fontId="1" fillId="3" borderId="4" xfId="0" applyFont="1" applyFill="1" applyBorder="1"/>
    <xf numFmtId="0" fontId="1" fillId="3" borderId="5" xfId="0" applyFont="1" applyFill="1" applyBorder="1"/>
    <xf numFmtId="0" fontId="5" fillId="3" borderId="0" xfId="0" applyFont="1" applyFill="1" applyAlignment="1">
      <alignment horizontal="left"/>
    </xf>
    <xf numFmtId="0" fontId="6" fillId="3" borderId="0" xfId="0" applyFont="1" applyFill="1" applyAlignment="1">
      <alignment horizontal="left"/>
    </xf>
    <xf numFmtId="0" fontId="4" fillId="3" borderId="0" xfId="0" applyFont="1" applyFill="1" applyAlignment="1">
      <alignment horizontal="left"/>
    </xf>
    <xf numFmtId="0" fontId="1" fillId="3" borderId="6" xfId="0" applyFont="1" applyFill="1" applyBorder="1" applyAlignment="1">
      <alignment horizontal="center" vertical="center"/>
    </xf>
    <xf numFmtId="0" fontId="10" fillId="3" borderId="6" xfId="0" applyFont="1" applyFill="1" applyBorder="1" applyAlignment="1">
      <alignment horizontal="center" vertical="center"/>
    </xf>
    <xf numFmtId="0" fontId="8" fillId="7" borderId="6" xfId="0" applyFont="1" applyFill="1" applyBorder="1" applyAlignment="1">
      <alignment horizontal="center" vertical="center"/>
    </xf>
    <xf numFmtId="0" fontId="12" fillId="7" borderId="6" xfId="0" applyFont="1" applyFill="1" applyBorder="1" applyAlignment="1">
      <alignment horizontal="left" vertical="top" wrapText="1" indent="2"/>
    </xf>
    <xf numFmtId="0" fontId="15" fillId="0" borderId="6" xfId="0" applyFont="1" applyBorder="1" applyAlignment="1">
      <alignment horizontal="left" vertical="top" wrapText="1" indent="2"/>
    </xf>
    <xf numFmtId="0" fontId="12" fillId="7" borderId="6" xfId="0" applyFont="1" applyFill="1" applyBorder="1" applyAlignment="1">
      <alignment horizontal="center" vertical="top" wrapText="1"/>
    </xf>
    <xf numFmtId="0" fontId="15" fillId="0" borderId="10" xfId="0" applyFont="1" applyBorder="1" applyAlignment="1">
      <alignment horizontal="center" vertical="center" wrapText="1"/>
    </xf>
    <xf numFmtId="0" fontId="16" fillId="8" borderId="10" xfId="0" applyFont="1" applyFill="1" applyBorder="1" applyAlignment="1">
      <alignment horizontal="center" vertical="center" wrapText="1"/>
    </xf>
    <xf numFmtId="0" fontId="16" fillId="0" borderId="10" xfId="0" applyFont="1" applyBorder="1" applyAlignment="1">
      <alignment horizontal="center" vertical="center" wrapText="1"/>
    </xf>
    <xf numFmtId="0" fontId="19" fillId="0" borderId="0" xfId="0" applyFont="1" applyAlignment="1">
      <alignment horizontal="center" vertical="center"/>
    </xf>
    <xf numFmtId="0" fontId="17" fillId="9" borderId="6" xfId="0" applyFont="1" applyFill="1" applyBorder="1" applyAlignment="1">
      <alignment horizontal="center" vertical="center" wrapText="1"/>
    </xf>
    <xf numFmtId="0" fontId="16"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20" fillId="10" borderId="11" xfId="0" applyFont="1" applyFill="1" applyBorder="1" applyAlignment="1">
      <alignment vertical="center" wrapText="1"/>
    </xf>
    <xf numFmtId="0" fontId="20" fillId="10" borderId="12" xfId="0" applyFont="1" applyFill="1" applyBorder="1" applyAlignment="1">
      <alignment horizontal="center" vertical="center" wrapText="1"/>
    </xf>
    <xf numFmtId="0" fontId="20" fillId="10" borderId="12" xfId="0" applyFont="1" applyFill="1" applyBorder="1" applyAlignment="1">
      <alignment vertical="center" wrapText="1"/>
    </xf>
    <xf numFmtId="0" fontId="18" fillId="0" borderId="14" xfId="0" applyFont="1" applyBorder="1" applyAlignment="1">
      <alignment horizontal="center" vertical="center" wrapText="1"/>
    </xf>
    <xf numFmtId="0" fontId="18" fillId="0" borderId="14" xfId="0" applyFont="1" applyBorder="1" applyAlignment="1">
      <alignment vertical="center" wrapText="1"/>
    </xf>
    <xf numFmtId="0" fontId="18" fillId="0" borderId="13" xfId="0" applyFont="1" applyBorder="1" applyAlignment="1">
      <alignment horizontal="left" vertical="center" wrapText="1" indent="1"/>
    </xf>
    <xf numFmtId="0" fontId="0" fillId="0" borderId="0" xfId="0" applyAlignment="1">
      <alignment horizontal="left" indent="1"/>
    </xf>
    <xf numFmtId="0" fontId="0" fillId="0" borderId="0" xfId="0" applyAlignment="1">
      <alignment horizontal="left" vertical="top" indent="1"/>
    </xf>
    <xf numFmtId="0" fontId="0" fillId="0" borderId="0" xfId="0" applyAlignment="1">
      <alignment horizontal="center" vertical="center"/>
    </xf>
    <xf numFmtId="0" fontId="20" fillId="8" borderId="13" xfId="0" applyFont="1" applyFill="1" applyBorder="1" applyAlignment="1">
      <alignment vertical="center" wrapText="1"/>
    </xf>
    <xf numFmtId="0" fontId="21" fillId="11" borderId="14" xfId="0" applyFont="1" applyFill="1" applyBorder="1" applyAlignment="1">
      <alignment horizontal="center" vertical="center" wrapText="1"/>
    </xf>
    <xf numFmtId="0" fontId="18" fillId="11" borderId="14" xfId="0" applyFont="1" applyFill="1" applyBorder="1" applyAlignment="1">
      <alignment vertical="center" wrapText="1"/>
    </xf>
    <xf numFmtId="0" fontId="20" fillId="9" borderId="13" xfId="0" applyFont="1" applyFill="1" applyBorder="1" applyAlignment="1">
      <alignment vertical="center" wrapText="1"/>
    </xf>
    <xf numFmtId="0" fontId="18" fillId="12" borderId="13" xfId="0" applyFont="1" applyFill="1" applyBorder="1" applyAlignment="1">
      <alignment vertical="center" wrapText="1"/>
    </xf>
    <xf numFmtId="0" fontId="18" fillId="13" borderId="13" xfId="0" applyFont="1" applyFill="1" applyBorder="1" applyAlignment="1">
      <alignment vertical="center" wrapText="1"/>
    </xf>
    <xf numFmtId="0" fontId="20" fillId="14" borderId="13" xfId="0" applyFont="1" applyFill="1" applyBorder="1" applyAlignment="1">
      <alignment vertical="center" wrapText="1"/>
    </xf>
    <xf numFmtId="0" fontId="18" fillId="11" borderId="14" xfId="0" applyFont="1" applyFill="1" applyBorder="1" applyAlignment="1">
      <alignment horizontal="center" vertical="center" wrapText="1"/>
    </xf>
    <xf numFmtId="0" fontId="20" fillId="12" borderId="13" xfId="0" applyFont="1" applyFill="1" applyBorder="1" applyAlignment="1">
      <alignment vertical="center" wrapText="1"/>
    </xf>
    <xf numFmtId="0" fontId="21" fillId="13" borderId="13" xfId="0" applyFont="1" applyFill="1" applyBorder="1" applyAlignment="1">
      <alignment vertical="center" wrapText="1"/>
    </xf>
    <xf numFmtId="0" fontId="13" fillId="0" borderId="0" xfId="0" applyFont="1"/>
    <xf numFmtId="0" fontId="11" fillId="7" borderId="6" xfId="0" applyFont="1" applyFill="1" applyBorder="1" applyAlignment="1">
      <alignment horizontal="center" vertical="center" wrapText="1"/>
    </xf>
    <xf numFmtId="0" fontId="0" fillId="10" borderId="0" xfId="0" applyFill="1"/>
    <xf numFmtId="0" fontId="11" fillId="4" borderId="0" xfId="0" applyFont="1" applyFill="1" applyAlignment="1">
      <alignment horizontal="center" vertical="center"/>
    </xf>
    <xf numFmtId="0" fontId="20" fillId="10" borderId="21" xfId="0" applyFont="1" applyFill="1" applyBorder="1" applyAlignment="1">
      <alignment horizontal="center" vertical="center" wrapText="1"/>
    </xf>
    <xf numFmtId="0" fontId="20" fillId="10" borderId="20"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8" fillId="0" borderId="0" xfId="0" applyFont="1" applyAlignment="1">
      <alignment horizontal="left" vertical="center" wrapText="1" indent="1"/>
    </xf>
    <xf numFmtId="0" fontId="18" fillId="0" borderId="0" xfId="0" applyFont="1" applyAlignment="1">
      <alignment horizontal="center" vertical="center" wrapText="1"/>
    </xf>
    <xf numFmtId="0" fontId="18" fillId="0" borderId="0" xfId="0" applyFont="1" applyAlignment="1">
      <alignment vertical="center" wrapText="1"/>
    </xf>
    <xf numFmtId="0" fontId="24" fillId="0" borderId="13" xfId="0" applyFont="1" applyBorder="1" applyAlignment="1">
      <alignment horizontal="center" vertical="top" wrapText="1"/>
    </xf>
    <xf numFmtId="0" fontId="18" fillId="0" borderId="14" xfId="0" applyFont="1" applyBorder="1" applyAlignment="1">
      <alignment vertical="top" wrapText="1"/>
    </xf>
    <xf numFmtId="0" fontId="21" fillId="0" borderId="14" xfId="0" applyFont="1" applyBorder="1" applyAlignment="1">
      <alignment vertical="top" wrapText="1"/>
    </xf>
    <xf numFmtId="0" fontId="8" fillId="4" borderId="6" xfId="0" applyFont="1" applyFill="1" applyBorder="1" applyAlignment="1">
      <alignment horizontal="center" vertical="top" wrapText="1"/>
    </xf>
    <xf numFmtId="0" fontId="26" fillId="0" borderId="6" xfId="0" applyFont="1" applyBorder="1" applyAlignment="1">
      <alignment horizontal="left" vertical="top" wrapText="1" indent="2"/>
    </xf>
    <xf numFmtId="0" fontId="15" fillId="15" borderId="0" xfId="0" applyFont="1" applyFill="1" applyAlignment="1">
      <alignment horizontal="left" vertical="top" wrapText="1" indent="2"/>
    </xf>
    <xf numFmtId="0" fontId="0" fillId="15" borderId="0" xfId="0" applyFill="1" applyAlignment="1">
      <alignment vertical="top"/>
    </xf>
    <xf numFmtId="0" fontId="16" fillId="15" borderId="0" xfId="0" applyFont="1" applyFill="1" applyAlignment="1">
      <alignment horizontal="center" vertical="center" wrapText="1"/>
    </xf>
    <xf numFmtId="0" fontId="12" fillId="7" borderId="6" xfId="0" applyFont="1" applyFill="1" applyBorder="1" applyAlignment="1">
      <alignment horizontal="left" vertical="top" wrapText="1" indent="1"/>
    </xf>
    <xf numFmtId="0" fontId="14" fillId="2" borderId="6" xfId="0" applyFont="1" applyFill="1" applyBorder="1" applyAlignment="1">
      <alignment horizontal="left" vertical="top" wrapText="1" indent="1"/>
    </xf>
    <xf numFmtId="0" fontId="14" fillId="15" borderId="0" xfId="0" applyFont="1" applyFill="1" applyAlignment="1">
      <alignment horizontal="left" vertical="top" wrapText="1" indent="1"/>
    </xf>
    <xf numFmtId="0" fontId="24" fillId="2" borderId="13" xfId="0" applyFont="1" applyFill="1" applyBorder="1" applyAlignment="1">
      <alignment vertical="top" wrapText="1"/>
    </xf>
    <xf numFmtId="0" fontId="18" fillId="2" borderId="14" xfId="0" applyFont="1" applyFill="1" applyBorder="1" applyAlignment="1">
      <alignment vertical="top" wrapText="1"/>
    </xf>
    <xf numFmtId="0" fontId="21" fillId="2" borderId="14" xfId="0" applyFont="1" applyFill="1" applyBorder="1" applyAlignment="1">
      <alignment vertical="top" wrapText="1"/>
    </xf>
    <xf numFmtId="0" fontId="20" fillId="10" borderId="19" xfId="0" applyFont="1" applyFill="1" applyBorder="1" applyAlignment="1">
      <alignment horizontal="left" vertical="center" wrapText="1" indent="1"/>
    </xf>
    <xf numFmtId="0" fontId="24" fillId="2" borderId="13" xfId="0" applyFont="1" applyFill="1" applyBorder="1" applyAlignment="1">
      <alignment horizontal="left" vertical="top" wrapText="1" indent="1"/>
    </xf>
    <xf numFmtId="0" fontId="18" fillId="2" borderId="14" xfId="0" applyFont="1" applyFill="1" applyBorder="1" applyAlignment="1">
      <alignment horizontal="left" vertical="top" wrapText="1" indent="1"/>
    </xf>
    <xf numFmtId="0" fontId="21" fillId="0" borderId="15" xfId="0" applyFont="1" applyBorder="1" applyAlignment="1">
      <alignment vertical="top" wrapText="1"/>
    </xf>
    <xf numFmtId="16" fontId="29" fillId="14" borderId="13" xfId="0" applyNumberFormat="1" applyFont="1" applyFill="1" applyBorder="1" applyAlignment="1">
      <alignment horizontal="center" vertical="center"/>
    </xf>
    <xf numFmtId="0" fontId="29" fillId="14" borderId="14" xfId="0" applyFont="1" applyFill="1" applyBorder="1" applyAlignment="1">
      <alignment horizontal="center" vertical="center"/>
    </xf>
    <xf numFmtId="0" fontId="21" fillId="0" borderId="14" xfId="0" applyFont="1" applyBorder="1" applyAlignment="1">
      <alignment horizontal="justify" vertical="center" wrapText="1"/>
    </xf>
    <xf numFmtId="0" fontId="30" fillId="13" borderId="13" xfId="0" applyFont="1" applyFill="1" applyBorder="1" applyAlignment="1">
      <alignment horizontal="center" vertical="center"/>
    </xf>
    <xf numFmtId="0" fontId="30" fillId="13" borderId="14" xfId="0" applyFont="1" applyFill="1" applyBorder="1" applyAlignment="1">
      <alignment horizontal="center" vertical="center"/>
    </xf>
    <xf numFmtId="0" fontId="30" fillId="12" borderId="13" xfId="0" applyFont="1" applyFill="1" applyBorder="1" applyAlignment="1">
      <alignment horizontal="center" vertical="center"/>
    </xf>
    <xf numFmtId="0" fontId="30" fillId="12" borderId="14" xfId="0" applyFont="1" applyFill="1" applyBorder="1" applyAlignment="1">
      <alignment horizontal="center" vertical="center"/>
    </xf>
    <xf numFmtId="0" fontId="29" fillId="9" borderId="13" xfId="0" applyFont="1" applyFill="1" applyBorder="1" applyAlignment="1">
      <alignment horizontal="center" vertical="center"/>
    </xf>
    <xf numFmtId="0" fontId="29" fillId="9" borderId="14" xfId="0" applyFont="1" applyFill="1" applyBorder="1" applyAlignment="1">
      <alignment horizontal="center" vertical="center"/>
    </xf>
    <xf numFmtId="0" fontId="29" fillId="8" borderId="13" xfId="0" applyFont="1" applyFill="1" applyBorder="1" applyAlignment="1">
      <alignment horizontal="center" vertical="center"/>
    </xf>
    <xf numFmtId="0" fontId="29" fillId="8" borderId="14" xfId="0" applyFont="1" applyFill="1" applyBorder="1" applyAlignment="1">
      <alignment horizontal="center" vertical="center"/>
    </xf>
    <xf numFmtId="0" fontId="24" fillId="2" borderId="14" xfId="0" applyFont="1" applyFill="1" applyBorder="1" applyAlignment="1">
      <alignment horizontal="center" vertical="center" wrapText="1"/>
    </xf>
    <xf numFmtId="0" fontId="21" fillId="2" borderId="14" xfId="0" applyFont="1" applyFill="1" applyBorder="1" applyAlignment="1">
      <alignment horizontal="left" vertical="top" wrapText="1"/>
    </xf>
    <xf numFmtId="0" fontId="0" fillId="15" borderId="0" xfId="0" applyFill="1"/>
    <xf numFmtId="0" fontId="0" fillId="15" borderId="0" xfId="0" applyFill="1" applyAlignment="1">
      <alignment horizontal="center" vertical="center"/>
    </xf>
    <xf numFmtId="0" fontId="24" fillId="2" borderId="27" xfId="0" applyFont="1" applyFill="1" applyBorder="1" applyAlignment="1">
      <alignment horizontal="center" vertical="center" wrapText="1"/>
    </xf>
    <xf numFmtId="0" fontId="13" fillId="15" borderId="0" xfId="0" applyFont="1" applyFill="1"/>
    <xf numFmtId="0" fontId="32" fillId="2" borderId="6" xfId="0" applyFont="1" applyFill="1" applyBorder="1" applyAlignment="1">
      <alignment horizontal="center" vertical="center" wrapText="1"/>
    </xf>
    <xf numFmtId="0" fontId="32" fillId="2" borderId="6" xfId="0" applyFont="1" applyFill="1" applyBorder="1" applyAlignment="1">
      <alignment horizontal="center" vertical="center"/>
    </xf>
    <xf numFmtId="0" fontId="32" fillId="2" borderId="0" xfId="0" applyFont="1" applyFill="1" applyAlignment="1">
      <alignment horizontal="center" vertical="center"/>
    </xf>
    <xf numFmtId="0" fontId="24" fillId="0" borderId="14" xfId="0" applyFont="1" applyBorder="1" applyAlignment="1">
      <alignment vertical="top" wrapText="1"/>
    </xf>
    <xf numFmtId="0" fontId="31" fillId="0" borderId="0" xfId="0" applyFont="1" applyAlignment="1">
      <alignment horizontal="left" vertical="top" wrapText="1"/>
    </xf>
    <xf numFmtId="0" fontId="21" fillId="0" borderId="14" xfId="0" applyFont="1" applyBorder="1" applyAlignment="1">
      <alignment horizontal="justify" vertical="top" wrapText="1"/>
    </xf>
    <xf numFmtId="0" fontId="20" fillId="10" borderId="12" xfId="0" applyFont="1" applyFill="1" applyBorder="1" applyAlignment="1">
      <alignment horizontal="left" vertical="center" wrapText="1"/>
    </xf>
    <xf numFmtId="0" fontId="30" fillId="0" borderId="14" xfId="0" applyFont="1" applyBorder="1" applyAlignment="1">
      <alignment horizontal="justify" vertical="top" wrapText="1"/>
    </xf>
    <xf numFmtId="0" fontId="30" fillId="0" borderId="14" xfId="0" applyFont="1" applyBorder="1" applyAlignment="1">
      <alignment horizontal="justify" vertical="center" wrapText="1"/>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9" xfId="0" applyFont="1" applyFill="1" applyBorder="1" applyAlignment="1">
      <alignment horizontal="center" vertical="center"/>
    </xf>
    <xf numFmtId="0" fontId="8" fillId="6" borderId="7" xfId="0" applyFont="1" applyFill="1" applyBorder="1" applyAlignment="1">
      <alignment horizontal="center"/>
    </xf>
    <xf numFmtId="0" fontId="8" fillId="6" borderId="8" xfId="0" applyFont="1" applyFill="1" applyBorder="1" applyAlignment="1">
      <alignment horizontal="center"/>
    </xf>
    <xf numFmtId="0" fontId="8" fillId="6" borderId="9" xfId="0" applyFont="1" applyFill="1" applyBorder="1" applyAlignment="1">
      <alignment horizontal="center"/>
    </xf>
    <xf numFmtId="0" fontId="8" fillId="7" borderId="7" xfId="0" applyFont="1" applyFill="1" applyBorder="1" applyAlignment="1">
      <alignment horizontal="center" vertical="center"/>
    </xf>
    <xf numFmtId="0" fontId="8" fillId="7" borderId="9" xfId="0" applyFont="1" applyFill="1" applyBorder="1" applyAlignment="1">
      <alignment horizontal="center" vertic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2" fillId="3" borderId="0" xfId="0" applyFont="1" applyFill="1" applyAlignment="1">
      <alignment horizontal="center" vertical="center" wrapText="1"/>
    </xf>
    <xf numFmtId="0" fontId="1" fillId="3" borderId="0" xfId="0" applyFont="1" applyFill="1" applyAlignment="1">
      <alignment horizontal="left"/>
    </xf>
    <xf numFmtId="0" fontId="7" fillId="5" borderId="7" xfId="0" applyFont="1" applyFill="1" applyBorder="1" applyAlignment="1">
      <alignment horizontal="center"/>
    </xf>
    <xf numFmtId="0" fontId="7" fillId="5" borderId="8" xfId="0" applyFont="1" applyFill="1" applyBorder="1" applyAlignment="1">
      <alignment horizontal="center"/>
    </xf>
    <xf numFmtId="0" fontId="7" fillId="5" borderId="9" xfId="0" applyFont="1" applyFill="1" applyBorder="1" applyAlignment="1">
      <alignment horizontal="center"/>
    </xf>
    <xf numFmtId="0" fontId="11" fillId="4" borderId="6"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23" fillId="4" borderId="0" xfId="0" applyFont="1" applyFill="1" applyAlignment="1">
      <alignment horizontal="left" vertical="top" wrapText="1" indent="1"/>
    </xf>
    <xf numFmtId="0" fontId="23" fillId="4" borderId="23" xfId="0" applyFont="1" applyFill="1" applyBorder="1" applyAlignment="1">
      <alignment horizontal="left" vertical="top" wrapText="1" indent="1"/>
    </xf>
    <xf numFmtId="0" fontId="23" fillId="4" borderId="24" xfId="0" applyFont="1" applyFill="1" applyBorder="1" applyAlignment="1">
      <alignment horizontal="left" vertical="top" wrapText="1"/>
    </xf>
    <xf numFmtId="0" fontId="25" fillId="4" borderId="15"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xf>
    <xf numFmtId="0" fontId="33" fillId="4" borderId="0" xfId="0" applyFont="1" applyFill="1" applyAlignment="1">
      <alignment horizontal="center"/>
    </xf>
    <xf numFmtId="0" fontId="11" fillId="7" borderId="6" xfId="0" applyFont="1" applyFill="1" applyBorder="1" applyAlignment="1">
      <alignment horizontal="center" vertical="center" wrapText="1"/>
    </xf>
    <xf numFmtId="0" fontId="11" fillId="7" borderId="22" xfId="0" applyFont="1" applyFill="1" applyBorder="1" applyAlignment="1">
      <alignment horizontal="center" vertical="center" wrapText="1"/>
    </xf>
    <xf numFmtId="0" fontId="11" fillId="7" borderId="25" xfId="0" applyFont="1" applyFill="1" applyBorder="1" applyAlignment="1">
      <alignment horizontal="center" vertical="center" wrapText="1"/>
    </xf>
    <xf numFmtId="0" fontId="28" fillId="16" borderId="24" xfId="0" applyFont="1" applyFill="1" applyBorder="1" applyAlignment="1">
      <alignment horizontal="center"/>
    </xf>
    <xf numFmtId="0" fontId="11" fillId="4" borderId="28" xfId="0" applyFont="1" applyFill="1" applyBorder="1" applyAlignment="1">
      <alignment horizontal="center" vertical="center" wrapText="1"/>
    </xf>
    <xf numFmtId="0" fontId="11" fillId="4" borderId="0" xfId="0" applyFont="1" applyFill="1" applyAlignment="1">
      <alignment horizontal="center" vertical="center" wrapText="1"/>
    </xf>
    <xf numFmtId="0" fontId="28" fillId="16" borderId="29" xfId="0" applyFont="1" applyFill="1" applyBorder="1" applyAlignment="1">
      <alignment horizontal="center"/>
    </xf>
    <xf numFmtId="0" fontId="28" fillId="16" borderId="0" xfId="0" applyFont="1" applyFill="1" applyAlignment="1">
      <alignment horizontal="center"/>
    </xf>
    <xf numFmtId="0" fontId="28" fillId="16" borderId="26" xfId="0" applyFont="1" applyFill="1" applyBorder="1" applyAlignment="1">
      <alignment horizontal="center"/>
    </xf>
  </cellXfs>
  <cellStyles count="1">
    <cellStyle name="Normal" xfId="0" builtinId="0"/>
  </cellStyles>
  <dxfs count="21">
    <dxf>
      <font>
        <color rgb="FF006100"/>
      </font>
      <fill>
        <patternFill>
          <bgColor theme="9" tint="0.79998168889431442"/>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theme="0"/>
      </font>
      <fill>
        <patternFill>
          <bgColor rgb="FFA50021"/>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theme="0"/>
      </font>
      <fill>
        <patternFill>
          <bgColor rgb="FFA50021"/>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theme="0"/>
      </font>
      <fill>
        <patternFill>
          <bgColor rgb="FFA50021"/>
        </patternFill>
      </fill>
    </dxf>
    <dxf>
      <font>
        <color theme="0"/>
      </font>
      <fill>
        <patternFill>
          <bgColor rgb="FFC00000"/>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fill>
        <patternFill>
          <bgColor rgb="FFC00000"/>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s>
  <tableStyles count="0" defaultTableStyle="TableStyleMedium2" defaultPivotStyle="PivotStyleMedium9"/>
  <colors>
    <mruColors>
      <color rgb="FFC00000"/>
      <color rgb="FFF70159"/>
      <color rgb="FF030D38"/>
      <color rgb="FF0A00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33904</xdr:colOff>
      <xdr:row>11</xdr:row>
      <xdr:rowOff>263905</xdr:rowOff>
    </xdr:from>
    <xdr:to>
      <xdr:col>9</xdr:col>
      <xdr:colOff>9140</xdr:colOff>
      <xdr:row>14</xdr:row>
      <xdr:rowOff>207051</xdr:rowOff>
    </xdr:to>
    <xdr:sp macro="" textlink="">
      <xdr:nvSpPr>
        <xdr:cNvPr id="3" name="Rectangle 2">
          <a:extLst>
            <a:ext uri="{FF2B5EF4-FFF2-40B4-BE49-F238E27FC236}">
              <a16:creationId xmlns:a16="http://schemas.microsoft.com/office/drawing/2014/main" id="{CB3C48DE-7185-CFF0-CB77-7A77301F66A8}"/>
            </a:ext>
          </a:extLst>
        </xdr:cNvPr>
        <xdr:cNvSpPr/>
      </xdr:nvSpPr>
      <xdr:spPr>
        <a:xfrm>
          <a:off x="33904" y="2240792"/>
          <a:ext cx="7092028" cy="1201165"/>
        </a:xfrm>
        <a:prstGeom prst="rect">
          <a:avLst/>
        </a:prstGeom>
        <a:solidFill>
          <a:srgbClr val="F701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TT Firs Neue Trl Light" panose="02000503030000020004" pitchFamily="2" charset="0"/>
            </a:rPr>
            <a:t>Cybersecurity Risk Register</a:t>
          </a:r>
        </a:p>
        <a:p>
          <a:pPr algn="ctr"/>
          <a:r>
            <a:rPr lang="en-US" sz="2000" b="1">
              <a:latin typeface="TT Firs Neue Trl Light" panose="02000503030000020004" pitchFamily="2" charset="0"/>
            </a:rPr>
            <a:t>NewBridge Pharmaceuticals</a:t>
          </a:r>
        </a:p>
        <a:p>
          <a:pPr algn="ctr"/>
          <a:endParaRPr lang="en-US" sz="2800" b="1">
            <a:latin typeface="TT Firs Neue Trl Light" panose="02000503030000020004" pitchFamily="2" charset="0"/>
          </a:endParaRPr>
        </a:p>
      </xdr:txBody>
    </xdr:sp>
    <xdr:clientData/>
  </xdr:twoCellAnchor>
  <xdr:twoCellAnchor editAs="oneCell">
    <xdr:from>
      <xdr:col>3</xdr:col>
      <xdr:colOff>745489</xdr:colOff>
      <xdr:row>3</xdr:row>
      <xdr:rowOff>69407</xdr:rowOff>
    </xdr:from>
    <xdr:to>
      <xdr:col>5</xdr:col>
      <xdr:colOff>312551</xdr:colOff>
      <xdr:row>8</xdr:row>
      <xdr:rowOff>151262</xdr:rowOff>
    </xdr:to>
    <xdr:pic>
      <xdr:nvPicPr>
        <xdr:cNvPr id="4" name="Picture 3">
          <a:extLst>
            <a:ext uri="{FF2B5EF4-FFF2-40B4-BE49-F238E27FC236}">
              <a16:creationId xmlns:a16="http://schemas.microsoft.com/office/drawing/2014/main" id="{990AC507-21D2-C29A-8656-F04508C437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85791" y="608558"/>
          <a:ext cx="1781175" cy="980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602409</xdr:colOff>
      <xdr:row>3</xdr:row>
      <xdr:rowOff>12528</xdr:rowOff>
    </xdr:from>
    <xdr:to>
      <xdr:col>10</xdr:col>
      <xdr:colOff>7189</xdr:colOff>
      <xdr:row>18</xdr:row>
      <xdr:rowOff>42659</xdr:rowOff>
    </xdr:to>
    <xdr:pic>
      <xdr:nvPicPr>
        <xdr:cNvPr id="2" name="Picture 1">
          <a:extLst>
            <a:ext uri="{FF2B5EF4-FFF2-40B4-BE49-F238E27FC236}">
              <a16:creationId xmlns:a16="http://schemas.microsoft.com/office/drawing/2014/main" id="{6FD7E900-5FE9-51E9-5A54-FD32F801FE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409" y="659509"/>
          <a:ext cx="11891516" cy="272588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ovasysco-my.sharepoint.com/personal/gamir_inovasys_com/Documents/Documents/Risk%20Assessment/OCB_Global_Risk_Assessment_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nfiguration"/>
      <sheetName val="OCB specificities"/>
      <sheetName val="Existing measures"/>
      <sheetName val="Assets"/>
      <sheetName val="Business Incident"/>
      <sheetName val="Measures"/>
      <sheetName val="Risks"/>
      <sheetName val="Residual_risks"/>
      <sheetName val="Prez_Word_Quadrants"/>
      <sheetName val="Prez_Word_risks"/>
      <sheetName val="Prez_Word_measures"/>
      <sheetName val="Prez_Action_Plan"/>
      <sheetName val="Prez_Word_résidus"/>
      <sheetName val="OCB_Global_Risk_Assessment_2022"/>
    </sheetNames>
    <sheetDataSet>
      <sheetData sheetId="0" refreshError="1"/>
      <sheetData sheetId="1">
        <row r="28">
          <cell r="D28" t="str">
            <v>OK</v>
          </cell>
        </row>
        <row r="48">
          <cell r="D48" t="str">
            <v>Regular</v>
          </cell>
        </row>
        <row r="49">
          <cell r="D49" t="str">
            <v>Legal</v>
          </cell>
        </row>
        <row r="66">
          <cell r="D66" t="str">
            <v>---In English---</v>
          </cell>
        </row>
        <row r="67">
          <cell r="D67" t="str">
            <v>Reduction</v>
          </cell>
        </row>
        <row r="68">
          <cell r="D68" t="str">
            <v>Retention</v>
          </cell>
        </row>
        <row r="69">
          <cell r="D69" t="str">
            <v>Avoidance</v>
          </cell>
        </row>
        <row r="70">
          <cell r="D70" t="str">
            <v>Sharing</v>
          </cell>
        </row>
        <row r="71">
          <cell r="D71" t="str">
            <v>---In French---</v>
          </cell>
        </row>
        <row r="72">
          <cell r="D72" t="str">
            <v>Réduction</v>
          </cell>
        </row>
        <row r="73">
          <cell r="D73" t="str">
            <v>Conservation</v>
          </cell>
        </row>
        <row r="74">
          <cell r="D74" t="str">
            <v>Refus</v>
          </cell>
        </row>
        <row r="75">
          <cell r="D75" t="str">
            <v>Transfert</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abSelected="1" view="pageBreakPreview" zoomScale="106" zoomScaleNormal="100" zoomScaleSheetLayoutView="126" workbookViewId="0">
      <selection activeCell="B1" sqref="B1"/>
    </sheetView>
  </sheetViews>
  <sheetFormatPr defaultRowHeight="14.4"/>
  <cols>
    <col min="2" max="2" width="9" bestFit="1" customWidth="1"/>
    <col min="4" max="4" width="16.88671875" bestFit="1" customWidth="1"/>
    <col min="5" max="5" width="15.44140625" customWidth="1"/>
    <col min="6" max="6" width="17.88671875" bestFit="1" customWidth="1"/>
  </cols>
  <sheetData>
    <row r="1" spans="1:9">
      <c r="A1" s="3"/>
      <c r="B1" s="4"/>
      <c r="C1" s="4"/>
      <c r="D1" s="115"/>
      <c r="E1" s="115"/>
      <c r="F1" s="115"/>
      <c r="G1" s="4"/>
      <c r="H1" s="4"/>
      <c r="I1" s="5"/>
    </row>
    <row r="2" spans="1:9">
      <c r="A2" s="3"/>
      <c r="B2" s="4"/>
      <c r="C2" s="4"/>
      <c r="D2" s="115"/>
      <c r="E2" s="115"/>
      <c r="F2" s="115"/>
      <c r="G2" s="4"/>
      <c r="H2" s="4"/>
      <c r="I2" s="5"/>
    </row>
    <row r="3" spans="1:9">
      <c r="A3" s="3"/>
      <c r="B3" s="4"/>
      <c r="C3" s="4"/>
      <c r="D3" s="115"/>
      <c r="E3" s="115"/>
      <c r="F3" s="115"/>
      <c r="G3" s="4"/>
      <c r="H3" s="4"/>
      <c r="I3" s="5"/>
    </row>
    <row r="4" spans="1:9">
      <c r="A4" s="3"/>
      <c r="B4" s="4"/>
      <c r="C4" s="4"/>
      <c r="D4" s="115"/>
      <c r="E4" s="115"/>
      <c r="F4" s="115"/>
      <c r="G4" s="4"/>
      <c r="H4" s="4"/>
      <c r="I4" s="5"/>
    </row>
    <row r="5" spans="1:9">
      <c r="A5" s="3"/>
      <c r="B5" s="4"/>
      <c r="C5" s="4"/>
      <c r="D5" s="115"/>
      <c r="E5" s="115"/>
      <c r="F5" s="115"/>
      <c r="G5" s="4"/>
      <c r="H5" s="4"/>
      <c r="I5" s="5"/>
    </row>
    <row r="6" spans="1:9">
      <c r="A6" s="3"/>
      <c r="B6" s="4"/>
      <c r="C6" s="4"/>
      <c r="D6" s="115"/>
      <c r="E6" s="115"/>
      <c r="F6" s="115"/>
      <c r="G6" s="4"/>
      <c r="H6" s="4"/>
      <c r="I6" s="5"/>
    </row>
    <row r="7" spans="1:9">
      <c r="A7" s="3"/>
      <c r="B7" s="4"/>
      <c r="C7" s="4"/>
      <c r="D7" s="4"/>
      <c r="E7" s="4"/>
      <c r="F7" s="4"/>
      <c r="G7" s="4"/>
      <c r="H7" s="4"/>
      <c r="I7" s="5"/>
    </row>
    <row r="8" spans="1:9">
      <c r="A8" s="3"/>
      <c r="B8" s="4"/>
      <c r="C8" s="4"/>
      <c r="D8" s="4"/>
      <c r="E8" s="4"/>
      <c r="F8" s="4"/>
      <c r="G8" s="4"/>
      <c r="H8" s="4"/>
      <c r="I8" s="5"/>
    </row>
    <row r="9" spans="1:9">
      <c r="A9" s="3"/>
      <c r="B9" s="4"/>
      <c r="C9" s="4"/>
      <c r="D9" s="4"/>
      <c r="E9" s="4"/>
      <c r="F9" s="4"/>
      <c r="G9" s="4"/>
      <c r="H9" s="4"/>
      <c r="I9" s="5"/>
    </row>
    <row r="10" spans="1:9">
      <c r="A10" s="3"/>
      <c r="B10" s="4"/>
      <c r="C10" s="4"/>
      <c r="D10" s="4"/>
      <c r="E10" s="4"/>
      <c r="F10" s="4"/>
      <c r="G10" s="4"/>
      <c r="H10" s="4"/>
      <c r="I10" s="5"/>
    </row>
    <row r="11" spans="1:9">
      <c r="A11" s="3"/>
      <c r="B11" s="4"/>
      <c r="C11" s="4"/>
      <c r="D11" s="4"/>
      <c r="E11" s="4"/>
      <c r="F11" s="4"/>
      <c r="G11" s="4"/>
      <c r="H11" s="4"/>
      <c r="I11" s="5"/>
    </row>
    <row r="12" spans="1:9" ht="69" customHeight="1">
      <c r="A12" s="3"/>
      <c r="B12" s="4"/>
      <c r="C12" s="4"/>
      <c r="D12" s="4"/>
      <c r="E12" s="4"/>
      <c r="F12" s="4"/>
      <c r="G12" s="4"/>
      <c r="H12" s="4"/>
      <c r="I12" s="5"/>
    </row>
    <row r="13" spans="1:9" ht="15.75" customHeight="1"/>
    <row r="14" spans="1:9">
      <c r="A14" s="3"/>
      <c r="B14" s="4"/>
      <c r="C14" s="4"/>
      <c r="D14" s="116"/>
      <c r="E14" s="116"/>
      <c r="F14" s="7"/>
      <c r="G14" s="4"/>
      <c r="H14" s="4"/>
      <c r="I14" s="5"/>
    </row>
    <row r="15" spans="1:9" ht="16.8">
      <c r="A15" s="3"/>
      <c r="B15" s="4"/>
      <c r="C15" s="4"/>
      <c r="D15" s="16"/>
      <c r="E15" s="15"/>
      <c r="F15" s="14"/>
      <c r="G15" s="8"/>
      <c r="H15" s="4"/>
      <c r="I15" s="5"/>
    </row>
    <row r="16" spans="1:9" ht="16.8">
      <c r="A16" s="3"/>
      <c r="B16" s="4"/>
      <c r="C16" s="4"/>
      <c r="D16" s="16"/>
      <c r="E16" s="15"/>
      <c r="F16" s="14"/>
      <c r="G16" s="8"/>
      <c r="H16" s="4"/>
      <c r="I16" s="5"/>
    </row>
    <row r="17" spans="1:9" ht="16.8">
      <c r="A17" s="3"/>
      <c r="B17" s="4"/>
      <c r="C17" s="6"/>
      <c r="D17" s="16"/>
      <c r="E17" s="15"/>
      <c r="F17" s="14"/>
      <c r="G17" s="9"/>
      <c r="H17" s="4"/>
      <c r="I17" s="5"/>
    </row>
    <row r="18" spans="1:9" ht="16.8">
      <c r="A18" s="3"/>
      <c r="C18" s="117" t="s">
        <v>0</v>
      </c>
      <c r="D18" s="118"/>
      <c r="E18" s="118"/>
      <c r="F18" s="118"/>
      <c r="G18" s="119"/>
      <c r="I18" s="5"/>
    </row>
    <row r="19" spans="1:9" ht="16.8">
      <c r="A19" s="3"/>
      <c r="C19" s="107" t="s">
        <v>1</v>
      </c>
      <c r="D19" s="108"/>
      <c r="E19" s="108"/>
      <c r="F19" s="108"/>
      <c r="G19" s="109"/>
      <c r="I19" s="5"/>
    </row>
    <row r="20" spans="1:9" ht="15">
      <c r="A20" s="3"/>
      <c r="C20" s="112" t="s">
        <v>2</v>
      </c>
      <c r="D20" s="113"/>
      <c r="E20" s="113"/>
      <c r="F20" s="113"/>
      <c r="G20" s="114"/>
      <c r="I20" s="5"/>
    </row>
    <row r="21" spans="1:9" ht="16.8">
      <c r="A21" s="3"/>
      <c r="C21" s="107" t="s">
        <v>3</v>
      </c>
      <c r="D21" s="108"/>
      <c r="E21" s="108"/>
      <c r="F21" s="108"/>
      <c r="G21" s="109"/>
      <c r="I21" s="5"/>
    </row>
    <row r="22" spans="1:9" ht="16.8">
      <c r="A22" s="3"/>
      <c r="C22" s="19" t="s">
        <v>4</v>
      </c>
      <c r="D22" s="19" t="s">
        <v>5</v>
      </c>
      <c r="E22" s="19" t="s">
        <v>6</v>
      </c>
      <c r="F22" s="110" t="s">
        <v>7</v>
      </c>
      <c r="G22" s="111"/>
      <c r="I22" s="5"/>
    </row>
    <row r="23" spans="1:9">
      <c r="A23" s="3"/>
      <c r="C23" s="18">
        <v>1</v>
      </c>
      <c r="D23" s="18" t="s">
        <v>8</v>
      </c>
      <c r="E23" s="18" t="s">
        <v>9</v>
      </c>
      <c r="F23" s="105" t="s">
        <v>10</v>
      </c>
      <c r="G23" s="106"/>
      <c r="I23" s="5"/>
    </row>
    <row r="24" spans="1:9">
      <c r="A24" s="3"/>
      <c r="C24" s="17"/>
      <c r="D24" s="17"/>
      <c r="E24" s="17"/>
      <c r="F24" s="103"/>
      <c r="G24" s="104"/>
      <c r="I24" s="5"/>
    </row>
    <row r="25" spans="1:9">
      <c r="A25" s="3"/>
      <c r="B25" s="4"/>
      <c r="C25" s="18"/>
      <c r="D25" s="18"/>
      <c r="E25" s="18"/>
      <c r="F25" s="105"/>
      <c r="G25" s="106"/>
      <c r="H25" s="4"/>
      <c r="I25" s="5"/>
    </row>
    <row r="26" spans="1:9">
      <c r="A26" s="3"/>
      <c r="B26" s="4"/>
      <c r="C26" s="17"/>
      <c r="D26" s="17"/>
      <c r="E26" s="17"/>
      <c r="F26" s="103"/>
      <c r="G26" s="104"/>
      <c r="H26" s="4"/>
      <c r="I26" s="5"/>
    </row>
    <row r="27" spans="1:9">
      <c r="A27" s="3"/>
      <c r="B27" s="4"/>
      <c r="C27" s="4"/>
      <c r="D27" s="4"/>
      <c r="E27" s="4"/>
      <c r="F27" s="4"/>
      <c r="G27" s="4"/>
      <c r="H27" s="4"/>
      <c r="I27" s="5"/>
    </row>
    <row r="28" spans="1:9">
      <c r="A28" s="10"/>
      <c r="B28" s="11"/>
      <c r="C28" s="12"/>
      <c r="D28" s="12"/>
      <c r="E28" s="12"/>
      <c r="F28" s="12"/>
      <c r="G28" s="12"/>
      <c r="H28" s="12"/>
      <c r="I28" s="13"/>
    </row>
  </sheetData>
  <mergeCells count="16">
    <mergeCell ref="D4:F4"/>
    <mergeCell ref="D1:F1"/>
    <mergeCell ref="D2:F2"/>
    <mergeCell ref="D3:F3"/>
    <mergeCell ref="C18:G18"/>
    <mergeCell ref="C20:G20"/>
    <mergeCell ref="C19:G19"/>
    <mergeCell ref="D5:F5"/>
    <mergeCell ref="D6:F6"/>
    <mergeCell ref="D14:E14"/>
    <mergeCell ref="F24:G24"/>
    <mergeCell ref="F25:G25"/>
    <mergeCell ref="F26:G26"/>
    <mergeCell ref="F23:G23"/>
    <mergeCell ref="C21:G21"/>
    <mergeCell ref="F22:G22"/>
  </mergeCells>
  <pageMargins left="0.7" right="0.7" top="0.75" bottom="0.75" header="0.3" footer="0.3"/>
  <pageSetup scale="8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66F9-9AB2-4BD9-AACF-633F286072CA}">
  <dimension ref="B2:O26"/>
  <sheetViews>
    <sheetView topLeftCell="E1" zoomScaleNormal="100" workbookViewId="0">
      <selection activeCell="B7" sqref="B7:E7"/>
    </sheetView>
  </sheetViews>
  <sheetFormatPr defaultRowHeight="14.4"/>
  <cols>
    <col min="2" max="2" width="12.33203125" customWidth="1"/>
    <col min="3" max="3" width="12.6640625" style="37" customWidth="1"/>
    <col min="4" max="4" width="29.109375" customWidth="1"/>
    <col min="5" max="5" width="71.6640625" bestFit="1" customWidth="1"/>
    <col min="11" max="11" width="13.33203125" style="36" customWidth="1"/>
    <col min="12" max="12" width="10.5546875" customWidth="1"/>
    <col min="13" max="13" width="53.44140625" customWidth="1"/>
    <col min="14" max="14" width="51.44140625" customWidth="1"/>
    <col min="15" max="15" width="53.5546875" customWidth="1"/>
  </cols>
  <sheetData>
    <row r="2" spans="2:15" ht="19.2" customHeight="1">
      <c r="B2" s="124" t="s">
        <v>11</v>
      </c>
      <c r="C2" s="124"/>
      <c r="D2" s="124"/>
      <c r="E2" s="125"/>
      <c r="G2" s="120" t="s">
        <v>12</v>
      </c>
      <c r="H2" s="120"/>
      <c r="I2" s="120"/>
      <c r="K2" s="121" t="s">
        <v>13</v>
      </c>
      <c r="L2" s="122"/>
      <c r="M2" s="122"/>
      <c r="N2" s="122"/>
      <c r="O2" s="123"/>
    </row>
    <row r="3" spans="2:15" s="1" customFormat="1">
      <c r="B3" s="67" t="s">
        <v>14</v>
      </c>
      <c r="C3" s="67" t="s">
        <v>15</v>
      </c>
      <c r="D3" s="20" t="s">
        <v>16</v>
      </c>
      <c r="E3" s="20" t="s">
        <v>17</v>
      </c>
      <c r="G3" s="22" t="s">
        <v>18</v>
      </c>
      <c r="H3" s="22" t="s">
        <v>19</v>
      </c>
      <c r="I3" s="22" t="s">
        <v>20</v>
      </c>
      <c r="K3" s="20" t="s">
        <v>21</v>
      </c>
      <c r="L3" s="20" t="s">
        <v>22</v>
      </c>
      <c r="M3" s="20" t="s">
        <v>23</v>
      </c>
      <c r="N3" s="20" t="s">
        <v>24</v>
      </c>
      <c r="O3" s="20" t="s">
        <v>25</v>
      </c>
    </row>
    <row r="4" spans="2:15" s="1" customFormat="1" ht="100.2" customHeight="1">
      <c r="B4" s="68" t="s">
        <v>26</v>
      </c>
      <c r="C4" s="68" t="s">
        <v>27</v>
      </c>
      <c r="D4" s="21" t="s">
        <v>28</v>
      </c>
      <c r="E4" s="21" t="s">
        <v>29</v>
      </c>
      <c r="G4" s="24" t="s">
        <v>30</v>
      </c>
      <c r="H4" s="25" t="s">
        <v>30</v>
      </c>
      <c r="I4" s="25" t="s">
        <v>30</v>
      </c>
      <c r="K4" s="35" t="s">
        <v>31</v>
      </c>
      <c r="L4" s="33">
        <v>1</v>
      </c>
      <c r="M4" s="34" t="s">
        <v>32</v>
      </c>
      <c r="N4" s="34" t="s">
        <v>33</v>
      </c>
      <c r="O4" s="34" t="s">
        <v>34</v>
      </c>
    </row>
    <row r="5" spans="2:15" s="2" customFormat="1" ht="100.2" customHeight="1">
      <c r="B5" s="68" t="s">
        <v>35</v>
      </c>
      <c r="C5" s="68" t="s">
        <v>36</v>
      </c>
      <c r="D5" s="21" t="s">
        <v>37</v>
      </c>
      <c r="E5" s="21" t="s">
        <v>38</v>
      </c>
      <c r="G5" s="24" t="s">
        <v>30</v>
      </c>
      <c r="H5" s="25" t="s">
        <v>30</v>
      </c>
      <c r="I5" s="27" t="s">
        <v>39</v>
      </c>
      <c r="K5" s="35" t="s">
        <v>40</v>
      </c>
      <c r="L5" s="33">
        <v>2</v>
      </c>
      <c r="M5" s="34" t="s">
        <v>41</v>
      </c>
      <c r="N5" s="34" t="s">
        <v>42</v>
      </c>
      <c r="O5" s="34" t="s">
        <v>43</v>
      </c>
    </row>
    <row r="6" spans="2:15" s="2" customFormat="1" ht="100.2" customHeight="1">
      <c r="B6" s="68" t="s">
        <v>44</v>
      </c>
      <c r="C6" s="68" t="s">
        <v>27</v>
      </c>
      <c r="D6" s="21" t="s">
        <v>45</v>
      </c>
      <c r="E6" s="21" t="s">
        <v>46</v>
      </c>
      <c r="G6" s="28" t="s">
        <v>30</v>
      </c>
      <c r="H6" s="28" t="s">
        <v>30</v>
      </c>
      <c r="I6" s="28" t="s">
        <v>30</v>
      </c>
      <c r="K6" s="35" t="s">
        <v>39</v>
      </c>
      <c r="L6" s="33">
        <v>3</v>
      </c>
      <c r="M6" s="34" t="s">
        <v>47</v>
      </c>
      <c r="N6" s="34" t="s">
        <v>48</v>
      </c>
      <c r="O6" s="34" t="s">
        <v>49</v>
      </c>
    </row>
    <row r="7" spans="2:15" s="2" customFormat="1" ht="100.2" customHeight="1">
      <c r="B7" s="68" t="s">
        <v>50</v>
      </c>
      <c r="C7" s="68" t="s">
        <v>27</v>
      </c>
      <c r="D7" s="21" t="s">
        <v>51</v>
      </c>
      <c r="E7" s="21" t="s">
        <v>52</v>
      </c>
      <c r="G7" s="28" t="s">
        <v>30</v>
      </c>
      <c r="H7" s="25" t="s">
        <v>30</v>
      </c>
      <c r="I7" s="25" t="s">
        <v>39</v>
      </c>
      <c r="K7" s="35" t="s">
        <v>30</v>
      </c>
      <c r="L7" s="33">
        <v>4</v>
      </c>
      <c r="M7" s="34" t="s">
        <v>53</v>
      </c>
      <c r="N7" s="34" t="s">
        <v>54</v>
      </c>
      <c r="O7" s="34" t="s">
        <v>55</v>
      </c>
    </row>
    <row r="8" spans="2:15" s="2" customFormat="1" ht="100.2" customHeight="1">
      <c r="B8" s="68" t="s">
        <v>56</v>
      </c>
      <c r="C8" s="68" t="s">
        <v>27</v>
      </c>
      <c r="D8" s="21" t="s">
        <v>57</v>
      </c>
      <c r="E8" s="21" t="s">
        <v>58</v>
      </c>
      <c r="G8" s="24" t="s">
        <v>30</v>
      </c>
      <c r="H8" s="24" t="s">
        <v>30</v>
      </c>
      <c r="I8" s="24" t="s">
        <v>30</v>
      </c>
      <c r="K8" s="56"/>
      <c r="L8" s="57"/>
      <c r="M8" s="58"/>
      <c r="N8" s="58"/>
      <c r="O8" s="58"/>
    </row>
    <row r="9" spans="2:15" ht="100.2" customHeight="1">
      <c r="B9" s="68" t="s">
        <v>59</v>
      </c>
      <c r="C9" s="68" t="s">
        <v>27</v>
      </c>
      <c r="D9" s="21" t="s">
        <v>60</v>
      </c>
      <c r="E9" s="63" t="s">
        <v>61</v>
      </c>
      <c r="G9" s="25" t="s">
        <v>39</v>
      </c>
      <c r="H9" s="25" t="s">
        <v>39</v>
      </c>
      <c r="I9" s="25" t="s">
        <v>40</v>
      </c>
    </row>
    <row r="10" spans="2:15" ht="100.2" customHeight="1">
      <c r="B10" s="68" t="s">
        <v>62</v>
      </c>
      <c r="C10" s="68" t="s">
        <v>63</v>
      </c>
      <c r="D10" s="21" t="s">
        <v>64</v>
      </c>
      <c r="E10" s="63" t="s">
        <v>65</v>
      </c>
      <c r="G10" s="25" t="s">
        <v>30</v>
      </c>
      <c r="H10" s="25" t="s">
        <v>30</v>
      </c>
      <c r="I10" s="25" t="s">
        <v>30</v>
      </c>
    </row>
    <row r="11" spans="2:15" s="2" customFormat="1" ht="100.2" customHeight="1">
      <c r="B11" s="68" t="s">
        <v>66</v>
      </c>
      <c r="C11" s="68" t="s">
        <v>67</v>
      </c>
      <c r="D11" s="21" t="s">
        <v>68</v>
      </c>
      <c r="E11" s="63" t="s">
        <v>69</v>
      </c>
      <c r="G11" s="25" t="s">
        <v>40</v>
      </c>
      <c r="H11" s="25" t="s">
        <v>30</v>
      </c>
      <c r="I11" s="25" t="s">
        <v>39</v>
      </c>
      <c r="K11" s="37"/>
    </row>
    <row r="12" spans="2:15" s="2" customFormat="1" ht="25.95" customHeight="1">
      <c r="C12" s="69"/>
      <c r="D12" s="64"/>
      <c r="E12" s="64"/>
      <c r="F12" s="65"/>
      <c r="G12" s="66"/>
      <c r="H12" s="66"/>
      <c r="I12" s="66"/>
      <c r="K12" s="37"/>
    </row>
    <row r="13" spans="2:15" ht="19.2" customHeight="1">
      <c r="B13" s="126" t="s">
        <v>70</v>
      </c>
      <c r="C13" s="126"/>
      <c r="D13" s="126"/>
      <c r="E13" s="126"/>
      <c r="G13" s="120" t="s">
        <v>12</v>
      </c>
      <c r="H13" s="120"/>
      <c r="I13" s="120"/>
    </row>
    <row r="14" spans="2:15" ht="18" customHeight="1">
      <c r="B14" s="67" t="s">
        <v>14</v>
      </c>
      <c r="C14" s="67" t="s">
        <v>15</v>
      </c>
      <c r="D14" s="20" t="s">
        <v>16</v>
      </c>
      <c r="E14" s="20" t="s">
        <v>17</v>
      </c>
      <c r="G14" s="22" t="s">
        <v>18</v>
      </c>
      <c r="H14" s="22" t="s">
        <v>19</v>
      </c>
      <c r="I14" s="22" t="s">
        <v>20</v>
      </c>
    </row>
    <row r="15" spans="2:15" ht="64.2" customHeight="1">
      <c r="B15" s="68" t="s">
        <v>71</v>
      </c>
      <c r="C15" s="68" t="s">
        <v>72</v>
      </c>
      <c r="D15" s="21" t="s">
        <v>73</v>
      </c>
      <c r="E15" s="21" t="s">
        <v>74</v>
      </c>
      <c r="G15" s="23" t="s">
        <v>30</v>
      </c>
      <c r="H15" s="23" t="s">
        <v>30</v>
      </c>
      <c r="I15" s="23" t="s">
        <v>30</v>
      </c>
    </row>
    <row r="16" spans="2:15" s="2" customFormat="1" ht="60" customHeight="1">
      <c r="B16" s="68" t="s">
        <v>75</v>
      </c>
      <c r="C16" s="68" t="s">
        <v>72</v>
      </c>
      <c r="D16" s="21" t="s">
        <v>76</v>
      </c>
      <c r="E16" s="21" t="s">
        <v>77</v>
      </c>
      <c r="G16" s="23" t="s">
        <v>30</v>
      </c>
      <c r="H16" s="23" t="s">
        <v>30</v>
      </c>
      <c r="I16" s="23" t="s">
        <v>30</v>
      </c>
      <c r="K16" s="37"/>
    </row>
    <row r="17" spans="2:11" s="2" customFormat="1" ht="60" customHeight="1">
      <c r="B17" s="68" t="s">
        <v>78</v>
      </c>
      <c r="C17" s="68" t="s">
        <v>79</v>
      </c>
      <c r="D17" s="21" t="s">
        <v>80</v>
      </c>
      <c r="E17" s="21" t="s">
        <v>81</v>
      </c>
      <c r="G17" s="26" t="s">
        <v>40</v>
      </c>
      <c r="H17" s="23" t="s">
        <v>30</v>
      </c>
      <c r="I17" s="23" t="s">
        <v>30</v>
      </c>
      <c r="K17" s="37"/>
    </row>
    <row r="18" spans="2:11" ht="60" customHeight="1">
      <c r="B18" s="68" t="s">
        <v>82</v>
      </c>
      <c r="C18" s="68" t="s">
        <v>83</v>
      </c>
      <c r="D18" s="21" t="s">
        <v>84</v>
      </c>
      <c r="E18" s="21" t="s">
        <v>85</v>
      </c>
      <c r="G18" s="29" t="s">
        <v>39</v>
      </c>
      <c r="H18" s="29" t="s">
        <v>39</v>
      </c>
      <c r="I18" s="23" t="s">
        <v>30</v>
      </c>
    </row>
    <row r="19" spans="2:11" s="2" customFormat="1" ht="60" customHeight="1">
      <c r="B19" s="68" t="s">
        <v>86</v>
      </c>
      <c r="C19" s="68" t="s">
        <v>83</v>
      </c>
      <c r="D19" s="21" t="s">
        <v>87</v>
      </c>
      <c r="E19" s="63" t="s">
        <v>88</v>
      </c>
      <c r="G19" s="29" t="s">
        <v>40</v>
      </c>
      <c r="H19" s="23" t="s">
        <v>30</v>
      </c>
      <c r="I19" s="23" t="s">
        <v>30</v>
      </c>
      <c r="K19" s="37"/>
    </row>
    <row r="20" spans="2:11" s="2" customFormat="1" ht="60" customHeight="1">
      <c r="B20" s="68" t="s">
        <v>89</v>
      </c>
      <c r="C20" s="68" t="s">
        <v>90</v>
      </c>
      <c r="D20" s="21" t="s">
        <v>91</v>
      </c>
      <c r="E20" s="21" t="s">
        <v>92</v>
      </c>
      <c r="G20" s="29" t="s">
        <v>30</v>
      </c>
      <c r="H20" s="23" t="s">
        <v>30</v>
      </c>
      <c r="I20" s="23" t="s">
        <v>30</v>
      </c>
      <c r="K20" s="37"/>
    </row>
    <row r="21" spans="2:11" s="2" customFormat="1" ht="85.95" customHeight="1">
      <c r="B21" s="68" t="s">
        <v>93</v>
      </c>
      <c r="C21" s="68" t="s">
        <v>90</v>
      </c>
      <c r="D21" s="21" t="s">
        <v>94</v>
      </c>
      <c r="E21" s="21" t="s">
        <v>95</v>
      </c>
      <c r="G21" s="29" t="s">
        <v>30</v>
      </c>
      <c r="H21" s="29" t="s">
        <v>30</v>
      </c>
      <c r="I21" s="29" t="s">
        <v>39</v>
      </c>
      <c r="K21" s="37"/>
    </row>
    <row r="22" spans="2:11" s="2" customFormat="1" ht="55.95" customHeight="1">
      <c r="B22" s="68" t="s">
        <v>96</v>
      </c>
      <c r="C22" s="68" t="s">
        <v>90</v>
      </c>
      <c r="D22" s="21" t="s">
        <v>97</v>
      </c>
      <c r="E22" s="63" t="s">
        <v>98</v>
      </c>
      <c r="G22" s="29" t="s">
        <v>39</v>
      </c>
      <c r="H22" s="29" t="s">
        <v>40</v>
      </c>
      <c r="I22" s="29" t="s">
        <v>39</v>
      </c>
      <c r="K22" s="37"/>
    </row>
    <row r="23" spans="2:11" s="2" customFormat="1" ht="85.2" customHeight="1">
      <c r="B23" s="68" t="s">
        <v>99</v>
      </c>
      <c r="C23" s="68" t="s">
        <v>100</v>
      </c>
      <c r="D23" s="21" t="s">
        <v>101</v>
      </c>
      <c r="E23" s="21" t="s">
        <v>102</v>
      </c>
      <c r="G23" s="29" t="s">
        <v>30</v>
      </c>
      <c r="H23" s="29" t="s">
        <v>30</v>
      </c>
      <c r="I23" s="29" t="s">
        <v>30</v>
      </c>
      <c r="K23" s="37"/>
    </row>
    <row r="24" spans="2:11" s="2" customFormat="1" ht="60" customHeight="1">
      <c r="B24" s="68" t="s">
        <v>103</v>
      </c>
      <c r="C24" s="68" t="s">
        <v>100</v>
      </c>
      <c r="D24" s="21" t="s">
        <v>104</v>
      </c>
      <c r="E24" s="21" t="s">
        <v>105</v>
      </c>
      <c r="G24" s="29" t="s">
        <v>40</v>
      </c>
      <c r="H24" s="29" t="s">
        <v>40</v>
      </c>
      <c r="I24" s="29" t="s">
        <v>39</v>
      </c>
      <c r="K24" s="37"/>
    </row>
    <row r="25" spans="2:11" s="2" customFormat="1" ht="60" customHeight="1">
      <c r="B25" s="68" t="s">
        <v>106</v>
      </c>
      <c r="C25" s="68" t="s">
        <v>100</v>
      </c>
      <c r="D25" s="21" t="s">
        <v>107</v>
      </c>
      <c r="E25" s="63" t="s">
        <v>108</v>
      </c>
      <c r="G25" s="29" t="s">
        <v>30</v>
      </c>
      <c r="H25" s="29" t="s">
        <v>30</v>
      </c>
      <c r="I25" s="29" t="s">
        <v>40</v>
      </c>
      <c r="K25" s="37"/>
    </row>
    <row r="26" spans="2:11" ht="60" customHeight="1">
      <c r="B26" s="68" t="s">
        <v>109</v>
      </c>
      <c r="C26" s="68" t="s">
        <v>100</v>
      </c>
      <c r="D26" s="21" t="s">
        <v>110</v>
      </c>
      <c r="E26" s="63" t="s">
        <v>111</v>
      </c>
      <c r="G26" s="29" t="s">
        <v>30</v>
      </c>
      <c r="H26" s="29" t="s">
        <v>30</v>
      </c>
      <c r="I26" s="29" t="s">
        <v>40</v>
      </c>
    </row>
  </sheetData>
  <mergeCells count="5">
    <mergeCell ref="G2:I2"/>
    <mergeCell ref="G13:I13"/>
    <mergeCell ref="K2:O2"/>
    <mergeCell ref="B2:E2"/>
    <mergeCell ref="B13:E13"/>
  </mergeCells>
  <phoneticPr fontId="22" type="noConversion"/>
  <conditionalFormatting sqref="G1:I1048576">
    <cfRule type="cellIs" dxfId="20" priority="10" operator="equal">
      <formula>"Low"</formula>
    </cfRule>
    <cfRule type="cellIs" dxfId="19" priority="11" operator="equal">
      <formula>"Mid"</formula>
    </cfRule>
    <cfRule type="cellIs" dxfId="18" priority="12" operator="equal">
      <formula>"High"</formula>
    </cfRule>
    <cfRule type="cellIs" dxfId="17" priority="13" operator="equal">
      <formula>"Very High"</formula>
    </cfRule>
  </conditionalFormatting>
  <conditionalFormatting sqref="K2">
    <cfRule type="cellIs" dxfId="16" priority="1" operator="equal">
      <formula>"Low"</formula>
    </cfRule>
    <cfRule type="cellIs" dxfId="15" priority="2" operator="equal">
      <formula>"Mid"</formula>
    </cfRule>
    <cfRule type="cellIs" dxfId="14" priority="3" operator="equal">
      <formula>"High"</formula>
    </cfRule>
    <cfRule type="cellIs" dxfId="13" priority="4" operator="equal">
      <formula>"Very High"</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3DFF9-13DB-4659-B346-A2C6792BD96E}">
  <dimension ref="A1:J26"/>
  <sheetViews>
    <sheetView topLeftCell="E1" zoomScale="119" zoomScaleNormal="133" workbookViewId="0">
      <selection activeCell="E4" sqref="E4"/>
    </sheetView>
  </sheetViews>
  <sheetFormatPr defaultRowHeight="14.4"/>
  <cols>
    <col min="3" max="3" width="33.88671875" customWidth="1"/>
    <col min="4" max="4" width="14" customWidth="1"/>
    <col min="5" max="5" width="36.33203125" customWidth="1"/>
    <col min="6" max="6" width="50.88671875" customWidth="1"/>
    <col min="7" max="9" width="9.109375" style="38"/>
    <col min="10" max="10" width="47.33203125" customWidth="1"/>
  </cols>
  <sheetData>
    <row r="1" spans="1:10">
      <c r="B1" s="90"/>
      <c r="C1" s="90"/>
      <c r="D1" s="90"/>
      <c r="E1" s="90"/>
      <c r="F1" s="90"/>
      <c r="G1" s="91"/>
      <c r="H1" s="91"/>
      <c r="I1" s="91"/>
      <c r="J1" s="90"/>
    </row>
    <row r="2" spans="1:10" ht="15.6">
      <c r="A2" s="90"/>
      <c r="B2" s="128" t="s">
        <v>112</v>
      </c>
      <c r="C2" s="128"/>
      <c r="D2" s="128"/>
      <c r="E2" s="128"/>
      <c r="F2" s="128"/>
      <c r="G2" s="127" t="s">
        <v>113</v>
      </c>
      <c r="H2" s="128"/>
      <c r="I2" s="128"/>
      <c r="J2" s="52" t="s">
        <v>114</v>
      </c>
    </row>
    <row r="3" spans="1:10">
      <c r="A3" s="90"/>
      <c r="B3" s="73" t="s">
        <v>115</v>
      </c>
      <c r="C3" s="73" t="s">
        <v>116</v>
      </c>
      <c r="D3" s="73" t="s">
        <v>16</v>
      </c>
      <c r="E3" s="73" t="s">
        <v>117</v>
      </c>
      <c r="F3" s="73" t="s">
        <v>118</v>
      </c>
      <c r="G3" s="53" t="s">
        <v>18</v>
      </c>
      <c r="H3" s="54" t="s">
        <v>19</v>
      </c>
      <c r="I3" s="31" t="s">
        <v>20</v>
      </c>
      <c r="J3" s="51"/>
    </row>
    <row r="4" spans="1:10" s="2" customFormat="1" ht="128.4" customHeight="1">
      <c r="A4" s="65"/>
      <c r="B4" s="74" t="s">
        <v>119</v>
      </c>
      <c r="C4" s="74" t="s">
        <v>120</v>
      </c>
      <c r="D4" s="75" t="s">
        <v>121</v>
      </c>
      <c r="E4" s="75" t="s">
        <v>122</v>
      </c>
      <c r="F4" s="75" t="s">
        <v>123</v>
      </c>
      <c r="G4" s="92" t="s">
        <v>124</v>
      </c>
      <c r="H4" s="88" t="s">
        <v>124</v>
      </c>
      <c r="I4" s="88" t="s">
        <v>124</v>
      </c>
      <c r="J4" s="72" t="s">
        <v>125</v>
      </c>
    </row>
    <row r="5" spans="1:10" s="2" customFormat="1" ht="93" customHeight="1">
      <c r="A5" s="65"/>
      <c r="B5" s="74" t="s">
        <v>126</v>
      </c>
      <c r="C5" s="70" t="s">
        <v>127</v>
      </c>
      <c r="D5" s="71" t="s">
        <v>121</v>
      </c>
      <c r="E5" s="71" t="s">
        <v>128</v>
      </c>
      <c r="F5" s="71" t="s">
        <v>129</v>
      </c>
      <c r="G5" s="92"/>
      <c r="H5" s="88"/>
      <c r="I5" s="88" t="s">
        <v>124</v>
      </c>
      <c r="J5" s="72" t="s">
        <v>130</v>
      </c>
    </row>
    <row r="6" spans="1:10" s="2" customFormat="1" ht="123.6" customHeight="1">
      <c r="A6" s="65"/>
      <c r="B6" s="74" t="s">
        <v>131</v>
      </c>
      <c r="C6" s="70" t="s">
        <v>132</v>
      </c>
      <c r="D6" s="71" t="s">
        <v>121</v>
      </c>
      <c r="E6" s="71" t="s">
        <v>133</v>
      </c>
      <c r="F6" s="71" t="s">
        <v>129</v>
      </c>
      <c r="G6" s="92"/>
      <c r="H6" s="88"/>
      <c r="I6" s="88" t="s">
        <v>124</v>
      </c>
      <c r="J6" s="72" t="s">
        <v>134</v>
      </c>
    </row>
    <row r="7" spans="1:10" s="2" customFormat="1" ht="93" customHeight="1">
      <c r="A7" s="65"/>
      <c r="B7" s="74" t="s">
        <v>135</v>
      </c>
      <c r="C7" s="70" t="s">
        <v>136</v>
      </c>
      <c r="D7" s="71" t="s">
        <v>121</v>
      </c>
      <c r="E7" s="71" t="s">
        <v>137</v>
      </c>
      <c r="F7" s="71" t="s">
        <v>138</v>
      </c>
      <c r="G7" s="92" t="s">
        <v>124</v>
      </c>
      <c r="H7" s="88"/>
      <c r="I7" s="88" t="s">
        <v>124</v>
      </c>
      <c r="J7" s="72" t="s">
        <v>139</v>
      </c>
    </row>
    <row r="8" spans="1:10" s="2" customFormat="1" ht="93" customHeight="1">
      <c r="A8" s="65"/>
      <c r="B8" s="74" t="s">
        <v>140</v>
      </c>
      <c r="C8" s="70" t="s">
        <v>141</v>
      </c>
      <c r="D8" s="71" t="s">
        <v>121</v>
      </c>
      <c r="E8" s="71" t="s">
        <v>142</v>
      </c>
      <c r="F8" s="71" t="s">
        <v>143</v>
      </c>
      <c r="G8" s="92" t="s">
        <v>124</v>
      </c>
      <c r="H8" s="88"/>
      <c r="I8" s="88"/>
      <c r="J8" s="72" t="s">
        <v>144</v>
      </c>
    </row>
    <row r="9" spans="1:10" s="2" customFormat="1" ht="93" customHeight="1">
      <c r="A9" s="65"/>
      <c r="B9" s="74" t="s">
        <v>145</v>
      </c>
      <c r="C9" s="70" t="s">
        <v>146</v>
      </c>
      <c r="D9" s="71" t="s">
        <v>121</v>
      </c>
      <c r="E9" s="71" t="s">
        <v>147</v>
      </c>
      <c r="F9" s="71" t="s">
        <v>148</v>
      </c>
      <c r="G9" s="92" t="s">
        <v>124</v>
      </c>
      <c r="H9" s="88"/>
      <c r="I9" s="88" t="s">
        <v>124</v>
      </c>
      <c r="J9" s="72" t="s">
        <v>149</v>
      </c>
    </row>
    <row r="10" spans="1:10" s="2" customFormat="1" ht="93" customHeight="1">
      <c r="A10" s="65"/>
      <c r="B10" s="74" t="s">
        <v>150</v>
      </c>
      <c r="C10" s="70" t="s">
        <v>151</v>
      </c>
      <c r="D10" s="71" t="s">
        <v>121</v>
      </c>
      <c r="E10" s="71" t="s">
        <v>152</v>
      </c>
      <c r="F10" s="71" t="s">
        <v>153</v>
      </c>
      <c r="G10" s="92" t="s">
        <v>124</v>
      </c>
      <c r="H10" s="88" t="s">
        <v>124</v>
      </c>
      <c r="I10" s="88" t="s">
        <v>124</v>
      </c>
      <c r="J10" s="72" t="s">
        <v>154</v>
      </c>
    </row>
    <row r="11" spans="1:10" s="2" customFormat="1" ht="93" customHeight="1">
      <c r="A11" s="65"/>
      <c r="B11" s="74" t="s">
        <v>155</v>
      </c>
      <c r="C11" s="70" t="s">
        <v>156</v>
      </c>
      <c r="D11" s="71" t="s">
        <v>121</v>
      </c>
      <c r="E11" s="71" t="s">
        <v>157</v>
      </c>
      <c r="F11" s="71" t="s">
        <v>158</v>
      </c>
      <c r="G11" s="92" t="s">
        <v>124</v>
      </c>
      <c r="H11" s="88"/>
      <c r="I11" s="88" t="s">
        <v>124</v>
      </c>
      <c r="J11" s="72" t="s">
        <v>159</v>
      </c>
    </row>
    <row r="12" spans="1:10" s="2" customFormat="1" ht="115.2" customHeight="1">
      <c r="A12" s="65"/>
      <c r="B12" s="74" t="s">
        <v>160</v>
      </c>
      <c r="C12" s="70" t="s">
        <v>161</v>
      </c>
      <c r="D12" s="71" t="s">
        <v>162</v>
      </c>
      <c r="E12" s="71" t="s">
        <v>163</v>
      </c>
      <c r="F12" s="71" t="s">
        <v>164</v>
      </c>
      <c r="G12" s="92"/>
      <c r="H12" s="88" t="s">
        <v>124</v>
      </c>
      <c r="I12" s="88" t="s">
        <v>124</v>
      </c>
      <c r="J12" s="72" t="s">
        <v>165</v>
      </c>
    </row>
    <row r="13" spans="1:10" s="2" customFormat="1" ht="93" customHeight="1">
      <c r="A13" s="65"/>
      <c r="B13" s="74" t="s">
        <v>166</v>
      </c>
      <c r="C13" s="70" t="s">
        <v>167</v>
      </c>
      <c r="D13" s="71" t="s">
        <v>162</v>
      </c>
      <c r="E13" s="71" t="s">
        <v>163</v>
      </c>
      <c r="F13" s="71" t="s">
        <v>168</v>
      </c>
      <c r="G13" s="92" t="s">
        <v>124</v>
      </c>
      <c r="H13" s="88"/>
      <c r="I13" s="88" t="s">
        <v>124</v>
      </c>
      <c r="J13" s="72" t="s">
        <v>169</v>
      </c>
    </row>
    <row r="14" spans="1:10" s="2" customFormat="1" ht="93" customHeight="1">
      <c r="A14" s="65"/>
      <c r="B14" s="74" t="s">
        <v>170</v>
      </c>
      <c r="C14" s="70" t="s">
        <v>171</v>
      </c>
      <c r="D14" s="71" t="s">
        <v>162</v>
      </c>
      <c r="E14" s="71" t="s">
        <v>172</v>
      </c>
      <c r="F14" s="71" t="s">
        <v>173</v>
      </c>
      <c r="G14" s="92"/>
      <c r="H14" s="88"/>
      <c r="I14" s="88" t="s">
        <v>124</v>
      </c>
      <c r="J14" s="72" t="s">
        <v>174</v>
      </c>
    </row>
    <row r="15" spans="1:10" s="2" customFormat="1" ht="93" customHeight="1">
      <c r="A15" s="65"/>
      <c r="B15" s="74" t="s">
        <v>175</v>
      </c>
      <c r="C15" s="70" t="s">
        <v>176</v>
      </c>
      <c r="D15" s="71" t="s">
        <v>162</v>
      </c>
      <c r="E15" s="71" t="s">
        <v>163</v>
      </c>
      <c r="F15" s="71" t="s">
        <v>177</v>
      </c>
      <c r="G15" s="92"/>
      <c r="H15" s="88"/>
      <c r="I15" s="88" t="s">
        <v>124</v>
      </c>
      <c r="J15" s="72" t="s">
        <v>178</v>
      </c>
    </row>
    <row r="16" spans="1:10" s="2" customFormat="1" ht="93" customHeight="1">
      <c r="A16" s="65"/>
      <c r="B16" s="74" t="s">
        <v>179</v>
      </c>
      <c r="C16" s="70" t="s">
        <v>180</v>
      </c>
      <c r="D16" s="71" t="s">
        <v>162</v>
      </c>
      <c r="E16" s="71" t="s">
        <v>163</v>
      </c>
      <c r="F16" s="71" t="s">
        <v>181</v>
      </c>
      <c r="G16" s="92" t="s">
        <v>124</v>
      </c>
      <c r="H16" s="88" t="s">
        <v>124</v>
      </c>
      <c r="I16" s="88"/>
      <c r="J16" s="89" t="s">
        <v>182</v>
      </c>
    </row>
    <row r="17" spans="1:10" s="2" customFormat="1" ht="93" customHeight="1">
      <c r="A17" s="65"/>
      <c r="B17" s="74" t="s">
        <v>183</v>
      </c>
      <c r="C17" s="70" t="s">
        <v>184</v>
      </c>
      <c r="D17" s="71" t="s">
        <v>185</v>
      </c>
      <c r="E17" s="71" t="s">
        <v>186</v>
      </c>
      <c r="F17" s="71" t="s">
        <v>187</v>
      </c>
      <c r="G17" s="92"/>
      <c r="H17" s="88"/>
      <c r="I17" s="88" t="s">
        <v>124</v>
      </c>
      <c r="J17" s="89" t="s">
        <v>188</v>
      </c>
    </row>
    <row r="18" spans="1:10" s="2" customFormat="1" ht="93" customHeight="1">
      <c r="A18" s="65"/>
      <c r="B18" s="74" t="s">
        <v>189</v>
      </c>
      <c r="C18" s="70" t="s">
        <v>190</v>
      </c>
      <c r="D18" s="71" t="s">
        <v>185</v>
      </c>
      <c r="E18" s="71" t="s">
        <v>186</v>
      </c>
      <c r="F18" s="71" t="s">
        <v>191</v>
      </c>
      <c r="G18" s="92" t="s">
        <v>124</v>
      </c>
      <c r="H18" s="88" t="s">
        <v>124</v>
      </c>
      <c r="I18" s="88" t="s">
        <v>124</v>
      </c>
      <c r="J18" s="89" t="s">
        <v>192</v>
      </c>
    </row>
    <row r="19" spans="1:10" s="2" customFormat="1" ht="93" customHeight="1">
      <c r="A19" s="65"/>
      <c r="B19" s="74" t="s">
        <v>193</v>
      </c>
      <c r="C19" s="70" t="s">
        <v>194</v>
      </c>
      <c r="D19" s="71" t="s">
        <v>185</v>
      </c>
      <c r="E19" s="71" t="s">
        <v>195</v>
      </c>
      <c r="F19" s="71" t="s">
        <v>196</v>
      </c>
      <c r="G19" s="92"/>
      <c r="H19" s="88"/>
      <c r="I19" s="88" t="s">
        <v>124</v>
      </c>
      <c r="J19" s="89" t="s">
        <v>197</v>
      </c>
    </row>
    <row r="20" spans="1:10" s="2" customFormat="1" ht="93" customHeight="1">
      <c r="A20" s="65"/>
      <c r="B20" s="74" t="s">
        <v>198</v>
      </c>
      <c r="C20" s="70" t="s">
        <v>199</v>
      </c>
      <c r="D20" s="71" t="s">
        <v>185</v>
      </c>
      <c r="E20" s="71" t="s">
        <v>195</v>
      </c>
      <c r="F20" s="71" t="s">
        <v>200</v>
      </c>
      <c r="G20" s="92"/>
      <c r="H20" s="88"/>
      <c r="I20" s="88" t="s">
        <v>124</v>
      </c>
      <c r="J20" s="89" t="s">
        <v>201</v>
      </c>
    </row>
    <row r="21" spans="1:10" s="2" customFormat="1" ht="93" customHeight="1">
      <c r="A21" s="65"/>
      <c r="B21" s="74" t="s">
        <v>202</v>
      </c>
      <c r="C21" s="70" t="s">
        <v>203</v>
      </c>
      <c r="D21" s="71" t="s">
        <v>185</v>
      </c>
      <c r="E21" s="71" t="s">
        <v>186</v>
      </c>
      <c r="F21" s="71" t="s">
        <v>204</v>
      </c>
      <c r="G21" s="92"/>
      <c r="H21" s="88"/>
      <c r="I21" s="88" t="s">
        <v>124</v>
      </c>
      <c r="J21" s="89" t="s">
        <v>205</v>
      </c>
    </row>
    <row r="22" spans="1:10" s="2" customFormat="1" ht="93" customHeight="1">
      <c r="A22" s="65"/>
      <c r="B22" s="74" t="s">
        <v>206</v>
      </c>
      <c r="C22" s="70" t="s">
        <v>207</v>
      </c>
      <c r="D22" s="71" t="s">
        <v>208</v>
      </c>
      <c r="E22" s="71" t="s">
        <v>209</v>
      </c>
      <c r="F22" s="71" t="s">
        <v>210</v>
      </c>
      <c r="G22" s="92" t="s">
        <v>124</v>
      </c>
      <c r="H22" s="88"/>
      <c r="I22" s="88" t="s">
        <v>124</v>
      </c>
      <c r="J22" s="89" t="s">
        <v>211</v>
      </c>
    </row>
    <row r="23" spans="1:10" s="2" customFormat="1" ht="93" customHeight="1">
      <c r="A23" s="65"/>
      <c r="B23" s="74" t="s">
        <v>212</v>
      </c>
      <c r="C23" s="70" t="s">
        <v>213</v>
      </c>
      <c r="D23" s="71" t="s">
        <v>208</v>
      </c>
      <c r="E23" s="71" t="s">
        <v>195</v>
      </c>
      <c r="F23" s="71" t="s">
        <v>214</v>
      </c>
      <c r="G23" s="92" t="s">
        <v>124</v>
      </c>
      <c r="H23" s="88"/>
      <c r="I23" s="88" t="s">
        <v>124</v>
      </c>
      <c r="J23" s="89" t="s">
        <v>215</v>
      </c>
    </row>
    <row r="24" spans="1:10" s="2" customFormat="1" ht="93" customHeight="1">
      <c r="A24" s="65"/>
      <c r="B24" s="74" t="s">
        <v>216</v>
      </c>
      <c r="C24" s="70" t="s">
        <v>217</v>
      </c>
      <c r="D24" s="71" t="s">
        <v>162</v>
      </c>
      <c r="E24" s="71" t="s">
        <v>218</v>
      </c>
      <c r="F24" s="71" t="s">
        <v>219</v>
      </c>
      <c r="G24" s="92"/>
      <c r="H24" s="88" t="s">
        <v>124</v>
      </c>
      <c r="I24" s="88" t="s">
        <v>124</v>
      </c>
      <c r="J24" s="89" t="s">
        <v>220</v>
      </c>
    </row>
    <row r="25" spans="1:10" s="2" customFormat="1" ht="93" customHeight="1">
      <c r="A25" s="65"/>
      <c r="B25" s="74" t="s">
        <v>221</v>
      </c>
      <c r="C25" s="70" t="s">
        <v>222</v>
      </c>
      <c r="D25" s="71" t="s">
        <v>162</v>
      </c>
      <c r="E25" s="71" t="s">
        <v>223</v>
      </c>
      <c r="F25" s="71" t="s">
        <v>224</v>
      </c>
      <c r="G25" s="92" t="s">
        <v>124</v>
      </c>
      <c r="H25" s="88" t="s">
        <v>124</v>
      </c>
      <c r="I25" s="88" t="s">
        <v>124</v>
      </c>
      <c r="J25" s="89" t="s">
        <v>225</v>
      </c>
    </row>
    <row r="26" spans="1:10" s="2" customFormat="1" ht="93" customHeight="1">
      <c r="A26" s="65"/>
      <c r="B26" s="74" t="s">
        <v>226</v>
      </c>
      <c r="C26" s="70" t="s">
        <v>227</v>
      </c>
      <c r="D26" s="71" t="s">
        <v>121</v>
      </c>
      <c r="E26" s="71" t="s">
        <v>228</v>
      </c>
      <c r="F26" s="71" t="s">
        <v>229</v>
      </c>
      <c r="G26" s="92" t="s">
        <v>124</v>
      </c>
      <c r="H26" s="88"/>
      <c r="I26" s="88"/>
      <c r="J26" s="89" t="s">
        <v>230</v>
      </c>
    </row>
  </sheetData>
  <autoFilter ref="B3:J26" xr:uid="{0B83DFF9-13DB-4659-B346-A2C6792BD96E}"/>
  <mergeCells count="2">
    <mergeCell ref="G2:I2"/>
    <mergeCell ref="B2:F2"/>
  </mergeCells>
  <phoneticPr fontId="22" type="noConversion"/>
  <conditionalFormatting sqref="H4:I26">
    <cfRule type="containsText" dxfId="12" priority="1" operator="containsText" text="Very High">
      <formula>NOT(ISERROR(SEARCH("Very High",H4)))</formula>
    </cfRule>
    <cfRule type="containsText" dxfId="11" priority="2" operator="containsText" text="High">
      <formula>NOT(ISERROR(SEARCH("High",H4)))</formula>
    </cfRule>
    <cfRule type="containsText" dxfId="10" priority="3" operator="containsText" text="Mid">
      <formula>NOT(ISERROR(SEARCH("Mid",H4)))</formula>
    </cfRule>
    <cfRule type="containsText" dxfId="9" priority="4" operator="containsText" text="Low">
      <formula>NOT(ISERROR(SEARCH("Low",H4)))</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77F79-5F12-4153-9AC6-62DEF6FAE12F}">
  <dimension ref="C3:E17"/>
  <sheetViews>
    <sheetView topLeftCell="A5" workbookViewId="0">
      <selection activeCell="C11" sqref="C11:E11"/>
    </sheetView>
  </sheetViews>
  <sheetFormatPr defaultRowHeight="14.4"/>
  <cols>
    <col min="3" max="3" width="15.109375" customWidth="1"/>
    <col min="5" max="5" width="70.5546875" customWidth="1"/>
  </cols>
  <sheetData>
    <row r="3" spans="3:5" ht="15.6">
      <c r="C3" s="129" t="s">
        <v>231</v>
      </c>
      <c r="D3" s="129"/>
      <c r="E3" s="129"/>
    </row>
    <row r="4" spans="3:5">
      <c r="C4" s="30" t="s">
        <v>21</v>
      </c>
      <c r="D4" s="31" t="s">
        <v>22</v>
      </c>
      <c r="E4" s="32" t="s">
        <v>17</v>
      </c>
    </row>
    <row r="5" spans="3:5" ht="52.8">
      <c r="C5" s="39" t="s">
        <v>232</v>
      </c>
      <c r="D5" s="40">
        <v>5</v>
      </c>
      <c r="E5" s="41" t="s">
        <v>233</v>
      </c>
    </row>
    <row r="6" spans="3:5" ht="52.8">
      <c r="C6" s="42" t="s">
        <v>39</v>
      </c>
      <c r="D6" s="40">
        <v>4</v>
      </c>
      <c r="E6" s="41" t="s">
        <v>234</v>
      </c>
    </row>
    <row r="7" spans="3:5" ht="39.6">
      <c r="C7" s="43" t="s">
        <v>235</v>
      </c>
      <c r="D7" s="40">
        <v>3</v>
      </c>
      <c r="E7" s="41" t="s">
        <v>236</v>
      </c>
    </row>
    <row r="8" spans="3:5" ht="52.8">
      <c r="C8" s="44" t="s">
        <v>31</v>
      </c>
      <c r="D8" s="40">
        <v>2</v>
      </c>
      <c r="E8" s="41" t="s">
        <v>237</v>
      </c>
    </row>
    <row r="9" spans="3:5" ht="52.8">
      <c r="C9" s="45" t="s">
        <v>238</v>
      </c>
      <c r="D9" s="40">
        <v>1</v>
      </c>
      <c r="E9" s="41" t="s">
        <v>239</v>
      </c>
    </row>
    <row r="11" spans="3:5" ht="15.6">
      <c r="C11" s="128" t="s">
        <v>240</v>
      </c>
      <c r="D11" s="128"/>
      <c r="E11" s="128"/>
    </row>
    <row r="12" spans="3:5">
      <c r="C12" s="30" t="s">
        <v>21</v>
      </c>
      <c r="D12" s="31" t="s">
        <v>22</v>
      </c>
      <c r="E12" s="32" t="s">
        <v>17</v>
      </c>
    </row>
    <row r="13" spans="3:5">
      <c r="C13" s="39" t="s">
        <v>241</v>
      </c>
      <c r="D13" s="46">
        <v>5</v>
      </c>
      <c r="E13" s="41" t="s">
        <v>242</v>
      </c>
    </row>
    <row r="14" spans="3:5">
      <c r="C14" s="42" t="s">
        <v>243</v>
      </c>
      <c r="D14" s="46">
        <v>4</v>
      </c>
      <c r="E14" s="41" t="s">
        <v>244</v>
      </c>
    </row>
    <row r="15" spans="3:5">
      <c r="C15" s="47" t="s">
        <v>235</v>
      </c>
      <c r="D15" s="46">
        <v>3</v>
      </c>
      <c r="E15" s="41" t="s">
        <v>245</v>
      </c>
    </row>
    <row r="16" spans="3:5">
      <c r="C16" s="48" t="s">
        <v>246</v>
      </c>
      <c r="D16" s="46">
        <v>2</v>
      </c>
      <c r="E16" s="41" t="s">
        <v>247</v>
      </c>
    </row>
    <row r="17" spans="3:5">
      <c r="C17" s="45" t="s">
        <v>248</v>
      </c>
      <c r="D17" s="46">
        <v>1</v>
      </c>
      <c r="E17" s="41" t="s">
        <v>249</v>
      </c>
    </row>
  </sheetData>
  <mergeCells count="2">
    <mergeCell ref="C3:E3"/>
    <mergeCell ref="C11:E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3B4A-5133-4613-9BCF-2F6D9A75B719}">
  <dimension ref="B3:J25"/>
  <sheetViews>
    <sheetView zoomScale="80" workbookViewId="0">
      <selection activeCell="B23" sqref="B23"/>
    </sheetView>
  </sheetViews>
  <sheetFormatPr defaultRowHeight="14.4"/>
  <cols>
    <col min="4" max="4" width="57.6640625" customWidth="1"/>
    <col min="6" max="6" width="17.6640625" customWidth="1"/>
    <col min="7" max="7" width="44.33203125" customWidth="1"/>
  </cols>
  <sheetData>
    <row r="3" spans="2:10" ht="22.8">
      <c r="B3" s="130" t="s">
        <v>250</v>
      </c>
      <c r="C3" s="130"/>
      <c r="D3" s="130"/>
      <c r="E3" s="130"/>
      <c r="F3" s="130"/>
      <c r="G3" s="130"/>
      <c r="H3" s="130"/>
      <c r="I3" s="130"/>
      <c r="J3" s="130"/>
    </row>
    <row r="20" spans="2:7" ht="39.6">
      <c r="B20" s="30" t="s">
        <v>251</v>
      </c>
      <c r="C20" s="32" t="s">
        <v>252</v>
      </c>
      <c r="D20" s="32" t="s">
        <v>17</v>
      </c>
      <c r="F20" s="32" t="s">
        <v>253</v>
      </c>
      <c r="G20" s="102" t="s">
        <v>254</v>
      </c>
    </row>
    <row r="21" spans="2:7" ht="37.200000000000003" customHeight="1">
      <c r="B21" s="77" t="s">
        <v>255</v>
      </c>
      <c r="C21" s="78" t="s">
        <v>256</v>
      </c>
      <c r="D21" s="79" t="s">
        <v>257</v>
      </c>
      <c r="F21" s="32" t="s">
        <v>258</v>
      </c>
      <c r="G21" s="102" t="s">
        <v>259</v>
      </c>
    </row>
    <row r="22" spans="2:7" ht="28.2" customHeight="1">
      <c r="B22" s="80" t="s">
        <v>260</v>
      </c>
      <c r="C22" s="81" t="s">
        <v>31</v>
      </c>
      <c r="D22" s="79" t="s">
        <v>261</v>
      </c>
    </row>
    <row r="23" spans="2:7" ht="39.6" customHeight="1">
      <c r="B23" s="82" t="s">
        <v>262</v>
      </c>
      <c r="C23" s="83" t="s">
        <v>263</v>
      </c>
      <c r="D23" s="79" t="s">
        <v>264</v>
      </c>
    </row>
    <row r="24" spans="2:7" ht="26.4">
      <c r="B24" s="84" t="s">
        <v>265</v>
      </c>
      <c r="C24" s="85" t="s">
        <v>39</v>
      </c>
      <c r="D24" s="79" t="s">
        <v>266</v>
      </c>
    </row>
    <row r="25" spans="2:7" ht="26.4">
      <c r="B25" s="86" t="s">
        <v>267</v>
      </c>
      <c r="C25" s="87" t="s">
        <v>30</v>
      </c>
      <c r="D25" s="79" t="s">
        <v>268</v>
      </c>
    </row>
  </sheetData>
  <mergeCells count="1">
    <mergeCell ref="B3:J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5BD2D-08D0-4E52-BEBB-C8EEAA34AFFB}">
  <dimension ref="B3:C8"/>
  <sheetViews>
    <sheetView topLeftCell="A4" zoomScale="122" workbookViewId="0">
      <selection activeCell="B8" sqref="B8"/>
    </sheetView>
  </sheetViews>
  <sheetFormatPr defaultRowHeight="14.4"/>
  <cols>
    <col min="2" max="2" width="26.33203125" customWidth="1"/>
    <col min="3" max="3" width="105.33203125" customWidth="1"/>
  </cols>
  <sheetData>
    <row r="3" spans="2:3" ht="15.6">
      <c r="B3" s="129" t="s">
        <v>269</v>
      </c>
      <c r="C3" s="129"/>
    </row>
    <row r="4" spans="2:3">
      <c r="B4" s="30" t="s">
        <v>270</v>
      </c>
      <c r="C4" s="100" t="s">
        <v>17</v>
      </c>
    </row>
    <row r="5" spans="2:3" s="98" customFormat="1" ht="67.95" customHeight="1">
      <c r="B5" s="101" t="s">
        <v>271</v>
      </c>
      <c r="C5" s="99" t="s">
        <v>272</v>
      </c>
    </row>
    <row r="6" spans="2:3" s="98" customFormat="1" ht="82.2" customHeight="1">
      <c r="B6" s="101" t="s">
        <v>273</v>
      </c>
      <c r="C6" s="99" t="s">
        <v>274</v>
      </c>
    </row>
    <row r="7" spans="2:3" s="98" customFormat="1" ht="59.4" customHeight="1">
      <c r="B7" s="101" t="s">
        <v>275</v>
      </c>
      <c r="C7" s="99" t="s">
        <v>276</v>
      </c>
    </row>
    <row r="8" spans="2:3" s="98" customFormat="1" ht="65.400000000000006" customHeight="1">
      <c r="B8" s="101" t="s">
        <v>277</v>
      </c>
      <c r="C8" s="99" t="s">
        <v>278</v>
      </c>
    </row>
  </sheetData>
  <mergeCells count="1">
    <mergeCell ref="B3:C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850E0-D9A8-4AA8-AD1B-3078AC2DA94D}">
  <dimension ref="A2:S27"/>
  <sheetViews>
    <sheetView zoomScale="95" zoomScaleNormal="100" workbookViewId="0">
      <pane ySplit="4" topLeftCell="A5" activePane="bottomLeft" state="frozen"/>
      <selection pane="bottomLeft" activeCell="N6" sqref="N6"/>
    </sheetView>
  </sheetViews>
  <sheetFormatPr defaultRowHeight="14.4"/>
  <cols>
    <col min="3" max="3" width="27.44140625" customWidth="1"/>
    <col min="4" max="4" width="34" customWidth="1"/>
    <col min="5" max="7" width="60.6640625" customWidth="1"/>
    <col min="8" max="9" width="5.6640625" customWidth="1"/>
    <col min="10" max="10" width="5.88671875" customWidth="1"/>
    <col min="11" max="11" width="15.5546875" customWidth="1"/>
    <col min="12" max="16" width="15.6640625" customWidth="1"/>
    <col min="17" max="17" width="22" customWidth="1"/>
    <col min="18" max="18" width="18.33203125" customWidth="1"/>
    <col min="19" max="19" width="48" customWidth="1"/>
  </cols>
  <sheetData>
    <row r="2" spans="1:19" ht="25.2">
      <c r="A2" s="90"/>
      <c r="B2" s="134" t="s">
        <v>279</v>
      </c>
      <c r="C2" s="134"/>
      <c r="D2" s="134"/>
      <c r="E2" s="134"/>
      <c r="F2" s="134"/>
      <c r="G2" s="134"/>
      <c r="H2" s="137" t="s">
        <v>280</v>
      </c>
      <c r="I2" s="138"/>
      <c r="J2" s="138"/>
      <c r="K2" s="138"/>
      <c r="L2" s="138"/>
      <c r="M2" s="138"/>
      <c r="N2" s="138"/>
      <c r="O2" s="138"/>
      <c r="P2" s="138"/>
      <c r="Q2" s="139" t="s">
        <v>281</v>
      </c>
      <c r="R2" s="134"/>
      <c r="S2" s="134"/>
    </row>
    <row r="3" spans="1:19" s="49" customFormat="1" ht="15.75" customHeight="1">
      <c r="A3" s="93"/>
      <c r="B3" s="131" t="s">
        <v>282</v>
      </c>
      <c r="C3" s="131" t="s">
        <v>283</v>
      </c>
      <c r="D3" s="131" t="s">
        <v>284</v>
      </c>
      <c r="E3" s="132" t="s">
        <v>285</v>
      </c>
      <c r="F3" s="131" t="s">
        <v>286</v>
      </c>
      <c r="G3" s="131" t="s">
        <v>287</v>
      </c>
      <c r="H3" s="131" t="s">
        <v>288</v>
      </c>
      <c r="I3" s="131"/>
      <c r="J3" s="131"/>
      <c r="K3" s="132" t="s">
        <v>289</v>
      </c>
      <c r="L3" s="131" t="s">
        <v>290</v>
      </c>
      <c r="M3" s="131" t="s">
        <v>291</v>
      </c>
      <c r="N3" s="131" t="s">
        <v>292</v>
      </c>
      <c r="O3" s="135" t="s">
        <v>293</v>
      </c>
      <c r="P3" s="136"/>
      <c r="Q3" s="131" t="s">
        <v>294</v>
      </c>
      <c r="R3" s="131" t="s">
        <v>295</v>
      </c>
      <c r="S3" s="131" t="s">
        <v>296</v>
      </c>
    </row>
    <row r="4" spans="1:19" s="49" customFormat="1" ht="13.8">
      <c r="A4" s="93"/>
      <c r="B4" s="131"/>
      <c r="C4" s="131"/>
      <c r="D4" s="131"/>
      <c r="E4" s="132"/>
      <c r="F4" s="131"/>
      <c r="G4" s="131"/>
      <c r="H4" s="50" t="s">
        <v>18</v>
      </c>
      <c r="I4" s="50" t="s">
        <v>19</v>
      </c>
      <c r="J4" s="50" t="s">
        <v>20</v>
      </c>
      <c r="K4" s="133"/>
      <c r="L4" s="131"/>
      <c r="M4" s="131"/>
      <c r="N4" s="131"/>
      <c r="O4" s="55" t="s">
        <v>297</v>
      </c>
      <c r="P4" s="55" t="s">
        <v>12</v>
      </c>
      <c r="Q4" s="131"/>
      <c r="R4" s="131"/>
      <c r="S4" s="131"/>
    </row>
    <row r="5" spans="1:19" ht="124.2" customHeight="1">
      <c r="A5" s="90"/>
      <c r="B5" s="62" t="s">
        <v>298</v>
      </c>
      <c r="C5" s="59" t="s">
        <v>120</v>
      </c>
      <c r="D5" s="60" t="s">
        <v>299</v>
      </c>
      <c r="E5" s="97" t="s">
        <v>300</v>
      </c>
      <c r="F5" s="61" t="s">
        <v>301</v>
      </c>
      <c r="G5" s="76" t="s">
        <v>302</v>
      </c>
      <c r="H5" s="92" t="s">
        <v>124</v>
      </c>
      <c r="I5" s="88" t="s">
        <v>124</v>
      </c>
      <c r="J5" s="88" t="s">
        <v>124</v>
      </c>
      <c r="K5" s="94">
        <v>4</v>
      </c>
      <c r="L5" s="94">
        <v>5</v>
      </c>
      <c r="M5" s="94">
        <v>4</v>
      </c>
      <c r="N5" s="94">
        <v>5</v>
      </c>
      <c r="O5" s="95">
        <f>SUM(K5*L5*((M5+N5)/2))</f>
        <v>90</v>
      </c>
      <c r="P5" s="96" t="str">
        <f>IF(O5 &lt;= 19, "Very Low", IF(O5 &lt;= 39, "Low", IF(O5 &lt;= 59, "Medium", IF(O5 &lt;= 79, "High", IF(O5 &lt;= 100, "Very High", "") ) ) ) )</f>
        <v>Very High</v>
      </c>
      <c r="Q5" s="61"/>
      <c r="R5" s="61"/>
      <c r="S5" s="61"/>
    </row>
    <row r="6" spans="1:19" ht="124.2" customHeight="1">
      <c r="A6" s="90"/>
      <c r="B6" s="62" t="s">
        <v>303</v>
      </c>
      <c r="C6" s="59" t="s">
        <v>304</v>
      </c>
      <c r="D6" s="60" t="s">
        <v>128</v>
      </c>
      <c r="E6" s="60" t="s">
        <v>305</v>
      </c>
      <c r="F6" s="61" t="s">
        <v>306</v>
      </c>
      <c r="G6" s="76" t="s">
        <v>307</v>
      </c>
      <c r="H6" s="92"/>
      <c r="I6" s="88"/>
      <c r="J6" s="88" t="s">
        <v>124</v>
      </c>
      <c r="K6" s="94">
        <v>4</v>
      </c>
      <c r="L6" s="94">
        <v>4</v>
      </c>
      <c r="M6" s="94">
        <v>5</v>
      </c>
      <c r="N6" s="94">
        <v>4</v>
      </c>
      <c r="O6" s="95">
        <f t="shared" ref="O6" si="0">SUM(K6*L6*((M6+N6)/2))</f>
        <v>72</v>
      </c>
      <c r="P6" s="96" t="str">
        <f t="shared" ref="P6:P19" si="1">IF(O6 &lt;= 19, "Very Low", IF(O6 &lt;= 39, "Low", IF(O6 &lt;= 59, "Medium", IF(O6 &lt;= 79, "High", IF(O6 &lt;= 100, "Very High", "") ) ) ) )</f>
        <v>High</v>
      </c>
      <c r="Q6" s="61"/>
      <c r="R6" s="61"/>
      <c r="S6" s="61"/>
    </row>
    <row r="7" spans="1:19" ht="141">
      <c r="A7" s="90"/>
      <c r="B7" s="62" t="s">
        <v>308</v>
      </c>
      <c r="C7" s="59" t="s">
        <v>132</v>
      </c>
      <c r="D7" s="60" t="s">
        <v>133</v>
      </c>
      <c r="E7" s="60" t="s">
        <v>309</v>
      </c>
      <c r="F7" s="61" t="s">
        <v>310</v>
      </c>
      <c r="G7" s="76" t="s">
        <v>311</v>
      </c>
      <c r="H7" s="92"/>
      <c r="I7" s="88"/>
      <c r="J7" s="88" t="s">
        <v>124</v>
      </c>
      <c r="K7" s="94">
        <v>4</v>
      </c>
      <c r="L7" s="94">
        <v>4</v>
      </c>
      <c r="M7" s="94">
        <v>5</v>
      </c>
      <c r="N7" s="94">
        <v>4</v>
      </c>
      <c r="O7" s="95">
        <f t="shared" ref="O7" si="2">SUM(K7*L7*((M7+N7)/2))</f>
        <v>72</v>
      </c>
      <c r="P7" s="96" t="str">
        <f t="shared" si="1"/>
        <v>High</v>
      </c>
      <c r="Q7" s="61"/>
      <c r="R7" s="61"/>
      <c r="S7" s="61"/>
    </row>
    <row r="8" spans="1:19" ht="128.4" customHeight="1">
      <c r="A8" s="90"/>
      <c r="B8" s="62" t="s">
        <v>312</v>
      </c>
      <c r="C8" s="59" t="s">
        <v>136</v>
      </c>
      <c r="D8" s="60" t="s">
        <v>137</v>
      </c>
      <c r="E8" s="60" t="s">
        <v>313</v>
      </c>
      <c r="F8" s="61" t="s">
        <v>314</v>
      </c>
      <c r="G8" s="76" t="s">
        <v>315</v>
      </c>
      <c r="H8" s="92" t="s">
        <v>124</v>
      </c>
      <c r="I8" s="88"/>
      <c r="J8" s="88" t="s">
        <v>124</v>
      </c>
      <c r="K8" s="94">
        <v>4</v>
      </c>
      <c r="L8" s="94">
        <v>4</v>
      </c>
      <c r="M8" s="94">
        <v>3</v>
      </c>
      <c r="N8" s="94">
        <v>5</v>
      </c>
      <c r="O8" s="95">
        <f>SUM(K8*L8*((M8+N8)/2))</f>
        <v>64</v>
      </c>
      <c r="P8" s="96" t="str">
        <f>IF(O8 &lt;= 19, "Very Low", IF(O8 &lt;= 39, "Low", IF(O8 &lt;= 59, "Medium", IF(O8 &lt;= 79, "High", IF(O8 &lt;= 100, "Very High", "") ) ) ) )</f>
        <v>High</v>
      </c>
      <c r="Q8" s="61"/>
      <c r="R8" s="61"/>
      <c r="S8" s="61"/>
    </row>
    <row r="9" spans="1:19" ht="128.4" customHeight="1">
      <c r="A9" s="90"/>
      <c r="B9" s="62" t="s">
        <v>316</v>
      </c>
      <c r="C9" s="59" t="s">
        <v>141</v>
      </c>
      <c r="D9" s="60" t="s">
        <v>317</v>
      </c>
      <c r="E9" s="60" t="s">
        <v>318</v>
      </c>
      <c r="F9" s="61" t="s">
        <v>319</v>
      </c>
      <c r="G9" s="76" t="s">
        <v>320</v>
      </c>
      <c r="H9" s="92" t="s">
        <v>124</v>
      </c>
      <c r="I9" s="88"/>
      <c r="J9" s="88"/>
      <c r="K9" s="94">
        <v>4</v>
      </c>
      <c r="L9" s="94">
        <v>5</v>
      </c>
      <c r="M9" s="94">
        <v>5</v>
      </c>
      <c r="N9" s="94">
        <v>5</v>
      </c>
      <c r="O9" s="95">
        <f>SUM(K9*L9*((M9+N9)/2))</f>
        <v>100</v>
      </c>
      <c r="P9" s="96" t="str">
        <f>IF(O9 &lt;= 19, "Very Low", IF(O9 &lt;= 39, "Low", IF(O9 &lt;= 59, "Medium", IF(O9 &lt;= 79, "High", IF(O9 &lt;= 100, "Very High", "") ) ) ) )</f>
        <v>Very High</v>
      </c>
      <c r="Q9" s="61"/>
      <c r="R9" s="61"/>
      <c r="S9" s="61"/>
    </row>
    <row r="10" spans="1:19" ht="128.4" customHeight="1">
      <c r="A10" s="90"/>
      <c r="B10" s="62" t="s">
        <v>321</v>
      </c>
      <c r="C10" s="59" t="s">
        <v>146</v>
      </c>
      <c r="D10" s="60" t="s">
        <v>147</v>
      </c>
      <c r="E10" s="60" t="s">
        <v>322</v>
      </c>
      <c r="F10" s="61" t="s">
        <v>323</v>
      </c>
      <c r="G10" s="76" t="s">
        <v>324</v>
      </c>
      <c r="H10" s="92" t="s">
        <v>124</v>
      </c>
      <c r="I10" s="88"/>
      <c r="J10" s="88" t="s">
        <v>124</v>
      </c>
      <c r="K10" s="94">
        <v>4</v>
      </c>
      <c r="L10" s="94">
        <v>4</v>
      </c>
      <c r="M10" s="94">
        <v>3</v>
      </c>
      <c r="N10" s="94">
        <v>4</v>
      </c>
      <c r="O10" s="95">
        <f t="shared" ref="O10" si="3">SUM(K10*L10*((M10+N10)/2))</f>
        <v>56</v>
      </c>
      <c r="P10" s="96" t="str">
        <f t="shared" si="1"/>
        <v>Medium</v>
      </c>
      <c r="Q10" s="61"/>
      <c r="R10" s="61"/>
      <c r="S10" s="61"/>
    </row>
    <row r="11" spans="1:19" ht="128.4" customHeight="1">
      <c r="A11" s="90"/>
      <c r="B11" s="62" t="s">
        <v>325</v>
      </c>
      <c r="C11" s="59" t="s">
        <v>151</v>
      </c>
      <c r="D11" s="60" t="s">
        <v>152</v>
      </c>
      <c r="E11" s="60" t="s">
        <v>326</v>
      </c>
      <c r="F11" s="61" t="s">
        <v>327</v>
      </c>
      <c r="G11" s="76" t="s">
        <v>328</v>
      </c>
      <c r="H11" s="92" t="s">
        <v>124</v>
      </c>
      <c r="I11" s="88" t="s">
        <v>124</v>
      </c>
      <c r="J11" s="88" t="s">
        <v>124</v>
      </c>
      <c r="K11" s="94">
        <v>4</v>
      </c>
      <c r="L11" s="94">
        <v>3</v>
      </c>
      <c r="M11" s="94">
        <v>4</v>
      </c>
      <c r="N11" s="94">
        <v>5</v>
      </c>
      <c r="O11" s="95">
        <f t="shared" ref="O11:O18" si="4">SUM(K11*L11*((M11+N11)/2))</f>
        <v>54</v>
      </c>
      <c r="P11" s="96" t="str">
        <f t="shared" ref="P11:P18" si="5">IF(O11 &lt;= 19, "Very Low", IF(O11 &lt;= 39, "Low", IF(O11 &lt;= 59, "Medium", IF(O11 &lt;= 79, "High", IF(O11 &lt;= 100, "Very High", "") ) ) ) )</f>
        <v>Medium</v>
      </c>
      <c r="Q11" s="61"/>
      <c r="R11" s="61"/>
      <c r="S11" s="61"/>
    </row>
    <row r="12" spans="1:19" ht="128.4" customHeight="1">
      <c r="A12" s="90"/>
      <c r="B12" s="62" t="s">
        <v>329</v>
      </c>
      <c r="C12" s="59" t="s">
        <v>156</v>
      </c>
      <c r="D12" s="60" t="s">
        <v>157</v>
      </c>
      <c r="E12" s="60" t="s">
        <v>330</v>
      </c>
      <c r="F12" s="61" t="s">
        <v>331</v>
      </c>
      <c r="G12" s="76" t="s">
        <v>332</v>
      </c>
      <c r="H12" s="92" t="s">
        <v>124</v>
      </c>
      <c r="I12" s="88"/>
      <c r="J12" s="88" t="s">
        <v>124</v>
      </c>
      <c r="K12" s="94">
        <v>4</v>
      </c>
      <c r="L12" s="94">
        <v>4</v>
      </c>
      <c r="M12" s="94">
        <v>5</v>
      </c>
      <c r="N12" s="94">
        <v>5</v>
      </c>
      <c r="O12" s="95">
        <f t="shared" si="4"/>
        <v>80</v>
      </c>
      <c r="P12" s="96" t="str">
        <f t="shared" si="5"/>
        <v>Very High</v>
      </c>
      <c r="Q12" s="61"/>
      <c r="R12" s="61"/>
      <c r="S12" s="61"/>
    </row>
    <row r="13" spans="1:19" ht="128.4" customHeight="1">
      <c r="A13" s="90"/>
      <c r="B13" s="62" t="s">
        <v>333</v>
      </c>
      <c r="C13" s="59" t="s">
        <v>161</v>
      </c>
      <c r="D13" s="60" t="s">
        <v>163</v>
      </c>
      <c r="E13" s="60" t="s">
        <v>334</v>
      </c>
      <c r="F13" s="61" t="s">
        <v>335</v>
      </c>
      <c r="G13" s="76" t="s">
        <v>336</v>
      </c>
      <c r="H13" s="92"/>
      <c r="I13" s="88" t="s">
        <v>124</v>
      </c>
      <c r="J13" s="88" t="s">
        <v>124</v>
      </c>
      <c r="K13" s="94">
        <v>4</v>
      </c>
      <c r="L13" s="94">
        <v>4</v>
      </c>
      <c r="M13" s="94">
        <v>4</v>
      </c>
      <c r="N13" s="94">
        <v>3</v>
      </c>
      <c r="O13" s="95">
        <f t="shared" si="4"/>
        <v>56</v>
      </c>
      <c r="P13" s="96" t="str">
        <f t="shared" si="5"/>
        <v>Medium</v>
      </c>
      <c r="Q13" s="61"/>
      <c r="R13" s="61"/>
      <c r="S13" s="61"/>
    </row>
    <row r="14" spans="1:19" ht="128.4" customHeight="1">
      <c r="A14" s="90"/>
      <c r="B14" s="62" t="s">
        <v>337</v>
      </c>
      <c r="C14" s="59" t="s">
        <v>338</v>
      </c>
      <c r="D14" s="60" t="s">
        <v>163</v>
      </c>
      <c r="E14" s="60" t="s">
        <v>339</v>
      </c>
      <c r="F14" s="61" t="s">
        <v>340</v>
      </c>
      <c r="G14" s="76" t="s">
        <v>341</v>
      </c>
      <c r="H14" s="92" t="s">
        <v>124</v>
      </c>
      <c r="I14" s="88"/>
      <c r="J14" s="88" t="s">
        <v>124</v>
      </c>
      <c r="K14" s="94">
        <v>4</v>
      </c>
      <c r="L14" s="94">
        <v>4</v>
      </c>
      <c r="M14" s="94">
        <v>4</v>
      </c>
      <c r="N14" s="94">
        <v>5</v>
      </c>
      <c r="O14" s="95">
        <f t="shared" si="4"/>
        <v>72</v>
      </c>
      <c r="P14" s="96" t="str">
        <f t="shared" si="5"/>
        <v>High</v>
      </c>
      <c r="Q14" s="61"/>
      <c r="R14" s="61"/>
      <c r="S14" s="61"/>
    </row>
    <row r="15" spans="1:19" ht="128.4" customHeight="1">
      <c r="A15" s="90"/>
      <c r="B15" s="62" t="s">
        <v>342</v>
      </c>
      <c r="C15" s="59" t="s">
        <v>171</v>
      </c>
      <c r="D15" s="60" t="s">
        <v>172</v>
      </c>
      <c r="E15" s="60" t="s">
        <v>343</v>
      </c>
      <c r="F15" s="61" t="s">
        <v>344</v>
      </c>
      <c r="G15" s="76" t="s">
        <v>345</v>
      </c>
      <c r="H15" s="92"/>
      <c r="I15" s="88"/>
      <c r="J15" s="88" t="s">
        <v>124</v>
      </c>
      <c r="K15" s="94">
        <v>4</v>
      </c>
      <c r="L15" s="94">
        <v>4</v>
      </c>
      <c r="M15" s="94">
        <v>3</v>
      </c>
      <c r="N15" s="94">
        <v>5</v>
      </c>
      <c r="O15" s="95">
        <f t="shared" si="4"/>
        <v>64</v>
      </c>
      <c r="P15" s="96" t="str">
        <f t="shared" si="5"/>
        <v>High</v>
      </c>
      <c r="Q15" s="61"/>
      <c r="R15" s="61"/>
      <c r="S15" s="61"/>
    </row>
    <row r="16" spans="1:19" ht="128.4" customHeight="1">
      <c r="A16" s="90"/>
      <c r="B16" s="62" t="s">
        <v>346</v>
      </c>
      <c r="C16" s="59" t="s">
        <v>347</v>
      </c>
      <c r="D16" s="60" t="s">
        <v>163</v>
      </c>
      <c r="E16" s="60" t="s">
        <v>348</v>
      </c>
      <c r="F16" s="61" t="s">
        <v>349</v>
      </c>
      <c r="G16" s="76" t="s">
        <v>178</v>
      </c>
      <c r="H16" s="92"/>
      <c r="I16" s="88"/>
      <c r="J16" s="88" t="s">
        <v>124</v>
      </c>
      <c r="K16" s="94">
        <v>4</v>
      </c>
      <c r="L16" s="94">
        <v>3</v>
      </c>
      <c r="M16" s="94">
        <v>3</v>
      </c>
      <c r="N16" s="94">
        <v>5</v>
      </c>
      <c r="O16" s="95">
        <f t="shared" si="4"/>
        <v>48</v>
      </c>
      <c r="P16" s="96" t="str">
        <f t="shared" si="5"/>
        <v>Medium</v>
      </c>
      <c r="Q16" s="61"/>
      <c r="R16" s="61"/>
      <c r="S16" s="61"/>
    </row>
    <row r="17" spans="1:19" ht="128.4" customHeight="1">
      <c r="A17" s="90"/>
      <c r="B17" s="62" t="s">
        <v>350</v>
      </c>
      <c r="C17" s="59" t="s">
        <v>180</v>
      </c>
      <c r="D17" s="60" t="s">
        <v>163</v>
      </c>
      <c r="E17" s="60" t="s">
        <v>351</v>
      </c>
      <c r="F17" s="61" t="s">
        <v>352</v>
      </c>
      <c r="G17" s="76" t="s">
        <v>353</v>
      </c>
      <c r="H17" s="92" t="s">
        <v>124</v>
      </c>
      <c r="I17" s="88" t="s">
        <v>124</v>
      </c>
      <c r="J17" s="88"/>
      <c r="K17" s="94">
        <v>4</v>
      </c>
      <c r="L17" s="94">
        <v>3</v>
      </c>
      <c r="M17" s="94">
        <v>3</v>
      </c>
      <c r="N17" s="94">
        <v>5</v>
      </c>
      <c r="O17" s="95">
        <f t="shared" si="4"/>
        <v>48</v>
      </c>
      <c r="P17" s="96" t="str">
        <f t="shared" si="5"/>
        <v>Medium</v>
      </c>
      <c r="Q17" s="61"/>
      <c r="R17" s="61"/>
      <c r="S17" s="61"/>
    </row>
    <row r="18" spans="1:19" ht="128.4" customHeight="1">
      <c r="A18" s="90"/>
      <c r="B18" s="62" t="s">
        <v>354</v>
      </c>
      <c r="C18" s="59" t="s">
        <v>184</v>
      </c>
      <c r="D18" s="60" t="s">
        <v>186</v>
      </c>
      <c r="E18" s="60" t="s">
        <v>355</v>
      </c>
      <c r="F18" s="61" t="s">
        <v>356</v>
      </c>
      <c r="G18" s="76" t="s">
        <v>188</v>
      </c>
      <c r="H18" s="92"/>
      <c r="I18" s="88"/>
      <c r="J18" s="88" t="s">
        <v>124</v>
      </c>
      <c r="K18" s="94">
        <v>4</v>
      </c>
      <c r="L18" s="94">
        <v>2</v>
      </c>
      <c r="M18" s="94">
        <v>2</v>
      </c>
      <c r="N18" s="94">
        <v>5</v>
      </c>
      <c r="O18" s="95">
        <f t="shared" si="4"/>
        <v>28</v>
      </c>
      <c r="P18" s="96" t="str">
        <f t="shared" si="5"/>
        <v>Low</v>
      </c>
      <c r="Q18" s="61"/>
      <c r="R18" s="61"/>
      <c r="S18" s="61"/>
    </row>
    <row r="19" spans="1:19" ht="128.4" customHeight="1">
      <c r="A19" s="90"/>
      <c r="B19" s="62" t="s">
        <v>357</v>
      </c>
      <c r="C19" s="59" t="s">
        <v>190</v>
      </c>
      <c r="D19" s="60" t="s">
        <v>186</v>
      </c>
      <c r="E19" s="60" t="s">
        <v>358</v>
      </c>
      <c r="F19" s="61" t="s">
        <v>359</v>
      </c>
      <c r="G19" s="76" t="s">
        <v>360</v>
      </c>
      <c r="H19" s="92" t="s">
        <v>124</v>
      </c>
      <c r="I19" s="88" t="s">
        <v>124</v>
      </c>
      <c r="J19" s="88" t="s">
        <v>124</v>
      </c>
      <c r="K19" s="94">
        <v>4</v>
      </c>
      <c r="L19" s="94">
        <v>4</v>
      </c>
      <c r="M19" s="94">
        <v>4</v>
      </c>
      <c r="N19" s="94">
        <v>5</v>
      </c>
      <c r="O19" s="95">
        <f t="shared" ref="O19" si="6">SUM(K19*L19*((M19+N19)/2))</f>
        <v>72</v>
      </c>
      <c r="P19" s="96" t="str">
        <f t="shared" si="1"/>
        <v>High</v>
      </c>
      <c r="Q19" s="61"/>
      <c r="R19" s="61"/>
      <c r="S19" s="61"/>
    </row>
    <row r="20" spans="1:19" ht="128.4" customHeight="1">
      <c r="A20" s="90"/>
      <c r="B20" s="62" t="s">
        <v>361</v>
      </c>
      <c r="C20" s="59" t="s">
        <v>194</v>
      </c>
      <c r="D20" s="60" t="s">
        <v>195</v>
      </c>
      <c r="E20" s="60" t="s">
        <v>362</v>
      </c>
      <c r="F20" s="61" t="s">
        <v>363</v>
      </c>
      <c r="G20" s="76" t="s">
        <v>364</v>
      </c>
      <c r="H20" s="92"/>
      <c r="I20" s="88"/>
      <c r="J20" s="88" t="s">
        <v>124</v>
      </c>
      <c r="K20" s="94">
        <v>4</v>
      </c>
      <c r="L20" s="94">
        <v>4</v>
      </c>
      <c r="M20" s="94">
        <v>3</v>
      </c>
      <c r="N20" s="94">
        <v>5</v>
      </c>
      <c r="O20" s="95">
        <f t="shared" ref="O20:O27" si="7">SUM(K20*L20*((M20+N20)/2))</f>
        <v>64</v>
      </c>
      <c r="P20" s="96" t="str">
        <f t="shared" ref="P20:P27" si="8">IF(O20 &lt;= 19, "Very Low", IF(O20 &lt;= 39, "Low", IF(O20 &lt;= 59, "Medium", IF(O20 &lt;= 79, "High", IF(O20 &lt;= 100, "Very High", "") ) ) ) )</f>
        <v>High</v>
      </c>
      <c r="Q20" s="61"/>
      <c r="R20" s="61"/>
      <c r="S20" s="61"/>
    </row>
    <row r="21" spans="1:19" ht="128.4" customHeight="1">
      <c r="A21" s="90"/>
      <c r="B21" s="62" t="s">
        <v>365</v>
      </c>
      <c r="C21" s="59" t="s">
        <v>366</v>
      </c>
      <c r="D21" s="60" t="s">
        <v>367</v>
      </c>
      <c r="E21" s="60" t="s">
        <v>368</v>
      </c>
      <c r="F21" s="61" t="s">
        <v>369</v>
      </c>
      <c r="G21" s="76" t="s">
        <v>370</v>
      </c>
      <c r="H21" s="92"/>
      <c r="I21" s="88"/>
      <c r="J21" s="88" t="s">
        <v>124</v>
      </c>
      <c r="K21" s="94">
        <v>5</v>
      </c>
      <c r="L21" s="94">
        <v>3</v>
      </c>
      <c r="M21" s="94">
        <v>4</v>
      </c>
      <c r="N21" s="94">
        <v>5</v>
      </c>
      <c r="O21" s="95">
        <f t="shared" si="7"/>
        <v>67.5</v>
      </c>
      <c r="P21" s="96" t="str">
        <f t="shared" si="8"/>
        <v>High</v>
      </c>
      <c r="Q21" s="61"/>
      <c r="R21" s="61"/>
      <c r="S21" s="61"/>
    </row>
    <row r="22" spans="1:19" ht="128.4" customHeight="1">
      <c r="A22" s="90"/>
      <c r="B22" s="62" t="s">
        <v>371</v>
      </c>
      <c r="C22" s="59" t="s">
        <v>372</v>
      </c>
      <c r="D22" s="60" t="s">
        <v>186</v>
      </c>
      <c r="E22" s="60" t="s">
        <v>373</v>
      </c>
      <c r="F22" s="61" t="s">
        <v>374</v>
      </c>
      <c r="G22" s="76" t="s">
        <v>205</v>
      </c>
      <c r="H22" s="92"/>
      <c r="I22" s="88"/>
      <c r="J22" s="88" t="s">
        <v>124</v>
      </c>
      <c r="K22" s="94">
        <v>5</v>
      </c>
      <c r="L22" s="94">
        <v>3</v>
      </c>
      <c r="M22" s="94">
        <v>2</v>
      </c>
      <c r="N22" s="94">
        <v>5</v>
      </c>
      <c r="O22" s="95">
        <f t="shared" si="7"/>
        <v>52.5</v>
      </c>
      <c r="P22" s="96" t="str">
        <f t="shared" si="8"/>
        <v>Medium</v>
      </c>
      <c r="Q22" s="61"/>
      <c r="R22" s="61"/>
      <c r="S22" s="61"/>
    </row>
    <row r="23" spans="1:19" ht="128.4" customHeight="1">
      <c r="A23" s="90"/>
      <c r="B23" s="62" t="s">
        <v>375</v>
      </c>
      <c r="C23" s="59" t="s">
        <v>207</v>
      </c>
      <c r="D23" s="60" t="s">
        <v>209</v>
      </c>
      <c r="E23" s="60" t="s">
        <v>376</v>
      </c>
      <c r="F23" s="61" t="s">
        <v>377</v>
      </c>
      <c r="G23" s="76" t="s">
        <v>378</v>
      </c>
      <c r="H23" s="92" t="s">
        <v>124</v>
      </c>
      <c r="I23" s="88"/>
      <c r="J23" s="88" t="s">
        <v>124</v>
      </c>
      <c r="K23" s="94">
        <v>5</v>
      </c>
      <c r="L23" s="94">
        <v>2</v>
      </c>
      <c r="M23" s="94">
        <v>2</v>
      </c>
      <c r="N23" s="94">
        <v>5</v>
      </c>
      <c r="O23" s="95">
        <f t="shared" si="7"/>
        <v>35</v>
      </c>
      <c r="P23" s="96" t="str">
        <f t="shared" si="8"/>
        <v>Low</v>
      </c>
      <c r="Q23" s="61"/>
      <c r="R23" s="61"/>
      <c r="S23" s="61"/>
    </row>
    <row r="24" spans="1:19" ht="128.4" customHeight="1">
      <c r="A24" s="90"/>
      <c r="B24" s="62" t="s">
        <v>379</v>
      </c>
      <c r="C24" s="59" t="s">
        <v>213</v>
      </c>
      <c r="D24" s="60" t="s">
        <v>195</v>
      </c>
      <c r="E24" s="60" t="s">
        <v>380</v>
      </c>
      <c r="F24" s="61" t="s">
        <v>381</v>
      </c>
      <c r="G24" s="76" t="s">
        <v>215</v>
      </c>
      <c r="H24" s="92" t="s">
        <v>124</v>
      </c>
      <c r="I24" s="88"/>
      <c r="J24" s="88" t="s">
        <v>124</v>
      </c>
      <c r="K24" s="94">
        <v>5</v>
      </c>
      <c r="L24" s="94">
        <v>3</v>
      </c>
      <c r="M24" s="94">
        <v>4</v>
      </c>
      <c r="N24" s="94">
        <v>5</v>
      </c>
      <c r="O24" s="95">
        <f t="shared" si="7"/>
        <v>67.5</v>
      </c>
      <c r="P24" s="96" t="str">
        <f t="shared" si="8"/>
        <v>High</v>
      </c>
      <c r="Q24" s="61"/>
      <c r="R24" s="61"/>
      <c r="S24" s="61"/>
    </row>
    <row r="25" spans="1:19" ht="128.4" customHeight="1">
      <c r="A25" s="90"/>
      <c r="B25" s="62" t="s">
        <v>382</v>
      </c>
      <c r="C25" s="59" t="s">
        <v>217</v>
      </c>
      <c r="D25" s="60" t="s">
        <v>383</v>
      </c>
      <c r="E25" s="60" t="s">
        <v>384</v>
      </c>
      <c r="F25" s="61" t="s">
        <v>385</v>
      </c>
      <c r="G25" s="76" t="s">
        <v>220</v>
      </c>
      <c r="H25" s="92"/>
      <c r="I25" s="88" t="s">
        <v>124</v>
      </c>
      <c r="J25" s="88" t="s">
        <v>124</v>
      </c>
      <c r="K25" s="94">
        <v>4</v>
      </c>
      <c r="L25" s="94">
        <v>5</v>
      </c>
      <c r="M25" s="94">
        <v>4</v>
      </c>
      <c r="N25" s="94">
        <v>5</v>
      </c>
      <c r="O25" s="95">
        <f t="shared" si="7"/>
        <v>90</v>
      </c>
      <c r="P25" s="96" t="str">
        <f t="shared" si="8"/>
        <v>Very High</v>
      </c>
      <c r="Q25" s="61"/>
      <c r="R25" s="61"/>
      <c r="S25" s="61"/>
    </row>
    <row r="26" spans="1:19" ht="128.4" customHeight="1">
      <c r="A26" s="90"/>
      <c r="B26" s="62" t="s">
        <v>386</v>
      </c>
      <c r="C26" s="59" t="s">
        <v>222</v>
      </c>
      <c r="D26" s="60" t="s">
        <v>223</v>
      </c>
      <c r="E26" s="60" t="s">
        <v>387</v>
      </c>
      <c r="F26" s="61" t="s">
        <v>388</v>
      </c>
      <c r="G26" s="76" t="s">
        <v>225</v>
      </c>
      <c r="H26" s="92" t="s">
        <v>124</v>
      </c>
      <c r="I26" s="88" t="s">
        <v>124</v>
      </c>
      <c r="J26" s="88" t="s">
        <v>124</v>
      </c>
      <c r="K26" s="94">
        <v>4</v>
      </c>
      <c r="L26" s="94">
        <v>4</v>
      </c>
      <c r="M26" s="94">
        <v>4</v>
      </c>
      <c r="N26" s="94">
        <v>5</v>
      </c>
      <c r="O26" s="95">
        <f t="shared" si="7"/>
        <v>72</v>
      </c>
      <c r="P26" s="96" t="str">
        <f t="shared" si="8"/>
        <v>High</v>
      </c>
      <c r="Q26" s="61"/>
      <c r="R26" s="61"/>
      <c r="S26" s="61"/>
    </row>
    <row r="27" spans="1:19" ht="128.4" customHeight="1">
      <c r="A27" s="90"/>
      <c r="B27" s="62" t="s">
        <v>389</v>
      </c>
      <c r="C27" s="59" t="s">
        <v>227</v>
      </c>
      <c r="D27" s="60" t="s">
        <v>228</v>
      </c>
      <c r="E27" s="60" t="s">
        <v>390</v>
      </c>
      <c r="F27" s="61" t="s">
        <v>385</v>
      </c>
      <c r="G27" s="76" t="s">
        <v>391</v>
      </c>
      <c r="H27" s="92" t="s">
        <v>124</v>
      </c>
      <c r="I27" s="88"/>
      <c r="J27" s="88"/>
      <c r="K27" s="94">
        <v>4</v>
      </c>
      <c r="L27" s="94">
        <v>5</v>
      </c>
      <c r="M27" s="94">
        <v>4</v>
      </c>
      <c r="N27" s="94">
        <v>5</v>
      </c>
      <c r="O27" s="95">
        <f t="shared" si="7"/>
        <v>90</v>
      </c>
      <c r="P27" s="96" t="str">
        <f t="shared" si="8"/>
        <v>Very High</v>
      </c>
      <c r="Q27" s="61"/>
      <c r="R27" s="61"/>
      <c r="S27" s="61"/>
    </row>
  </sheetData>
  <autoFilter ref="B4:O28" xr:uid="{2E4850E0-D9A8-4AA8-AD1B-3078AC2DA94D}"/>
  <mergeCells count="18">
    <mergeCell ref="Q3:Q4"/>
    <mergeCell ref="R3:R4"/>
    <mergeCell ref="S3:S4"/>
    <mergeCell ref="Q2:S2"/>
    <mergeCell ref="N3:N4"/>
    <mergeCell ref="M3:M4"/>
    <mergeCell ref="E3:E4"/>
    <mergeCell ref="K3:K4"/>
    <mergeCell ref="B2:G2"/>
    <mergeCell ref="O3:P3"/>
    <mergeCell ref="H2:P2"/>
    <mergeCell ref="B3:B4"/>
    <mergeCell ref="C3:C4"/>
    <mergeCell ref="D3:D4"/>
    <mergeCell ref="F3:F4"/>
    <mergeCell ref="L3:L4"/>
    <mergeCell ref="G3:G4"/>
    <mergeCell ref="H3:J3"/>
  </mergeCells>
  <phoneticPr fontId="22" type="noConversion"/>
  <conditionalFormatting sqref="I5:N27">
    <cfRule type="containsText" dxfId="8" priority="1" operator="containsText" text="Very High">
      <formula>NOT(ISERROR(SEARCH("Very High",I5)))</formula>
    </cfRule>
    <cfRule type="containsText" dxfId="7" priority="2" operator="containsText" text="High">
      <formula>NOT(ISERROR(SEARCH("High",I5)))</formula>
    </cfRule>
    <cfRule type="containsText" dxfId="6" priority="3" operator="containsText" text="Mid">
      <formula>NOT(ISERROR(SEARCH("Mid",I5)))</formula>
    </cfRule>
    <cfRule type="containsText" dxfId="5" priority="4" operator="containsText" text="Low">
      <formula>NOT(ISERROR(SEARCH("Low",I5)))</formula>
    </cfRule>
  </conditionalFormatting>
  <conditionalFormatting sqref="P5:P27 P29:P31">
    <cfRule type="containsText" dxfId="4" priority="5" operator="containsText" text="Very High">
      <formula>NOT(ISERROR(SEARCH("Very High",P5)))</formula>
    </cfRule>
    <cfRule type="containsText" dxfId="3" priority="10" operator="containsText" text="High">
      <formula>NOT(ISERROR(SEARCH("High",P5)))</formula>
    </cfRule>
    <cfRule type="containsText" dxfId="2" priority="11" operator="containsText" text="Medium">
      <formula>NOT(ISERROR(SEARCH("Medium",P5)))</formula>
    </cfRule>
    <cfRule type="containsText" dxfId="1" priority="12" operator="containsText" text="Low">
      <formula>NOT(ISERROR(SEARCH("Low",P5)))</formula>
    </cfRule>
    <cfRule type="containsText" dxfId="0" priority="13" operator="containsText" text="Very Low">
      <formula>NOT(ISERROR(SEARCH("Very Low",P5)))</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C1F6C39-F750-43CE-A448-20FBA8A78682}">
          <x14:formula1>
            <xm:f>Risk_Treatment_Options!$B$5:$B$8</xm:f>
          </x14:formula1>
          <xm:sqref>R5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2E8ACF47930B4DBAE2B7B53B8D63F2" ma:contentTypeVersion="18" ma:contentTypeDescription="Create a new document." ma:contentTypeScope="" ma:versionID="50e1be2f0c9f800fd4ae3ddbf89814b2">
  <xsd:schema xmlns:xsd="http://www.w3.org/2001/XMLSchema" xmlns:xs="http://www.w3.org/2001/XMLSchema" xmlns:p="http://schemas.microsoft.com/office/2006/metadata/properties" xmlns:ns2="7d75afba-4a93-4fa5-955c-e7eda4a0a158" xmlns:ns3="ac99cb93-0445-48fb-b6d4-2ea96a8063bf" targetNamespace="http://schemas.microsoft.com/office/2006/metadata/properties" ma:root="true" ma:fieldsID="f3f31bb03e3cad385de447593a0961ed" ns2:_="" ns3:_="">
    <xsd:import namespace="7d75afba-4a93-4fa5-955c-e7eda4a0a158"/>
    <xsd:import namespace="ac99cb93-0445-48fb-b6d4-2ea96a8063b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75afba-4a93-4fa5-955c-e7eda4a0a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683d6a3-cfc5-4cf0-b48a-8b7bb33be2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99cb93-0445-48fb-b6d4-2ea96a8063b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f92528a-7169-43fb-ae3a-b209116c9aaf}" ma:internalName="TaxCatchAll" ma:showField="CatchAllData" ma:web="ac99cb93-0445-48fb-b6d4-2ea96a8063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75afba-4a93-4fa5-955c-e7eda4a0a158">
      <Terms xmlns="http://schemas.microsoft.com/office/infopath/2007/PartnerControls"/>
    </lcf76f155ced4ddcb4097134ff3c332f>
    <TaxCatchAll xmlns="ac99cb93-0445-48fb-b6d4-2ea96a8063bf"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4434D7-A53A-4707-A2E9-826825B338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75afba-4a93-4fa5-955c-e7eda4a0a158"/>
    <ds:schemaRef ds:uri="ac99cb93-0445-48fb-b6d4-2ea96a8063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B5DD16-34B9-407B-8F46-47E7E7613239}">
  <ds:schemaRefs>
    <ds:schemaRef ds:uri="http://schemas.microsoft.com/DataMashup"/>
  </ds:schemaRefs>
</ds:datastoreItem>
</file>

<file path=customXml/itemProps3.xml><?xml version="1.0" encoding="utf-8"?>
<ds:datastoreItem xmlns:ds="http://schemas.openxmlformats.org/officeDocument/2006/customXml" ds:itemID="{9564F5AB-576E-495A-96BE-3E4098262A6E}">
  <ds:schemaRefs>
    <ds:schemaRef ds:uri="http://schemas.microsoft.com/office/2006/metadata/properties"/>
    <ds:schemaRef ds:uri="http://schemas.microsoft.com/office/infopath/2007/PartnerControls"/>
    <ds:schemaRef ds:uri="16236fef-41aa-4c34-8ca3-201be5ee7c95"/>
    <ds:schemaRef ds:uri="45239911-5923-4e97-ae98-c2c742502940"/>
    <ds:schemaRef ds:uri="7d75afba-4a93-4fa5-955c-e7eda4a0a158"/>
    <ds:schemaRef ds:uri="ac99cb93-0445-48fb-b6d4-2ea96a8063bf"/>
  </ds:schemaRefs>
</ds:datastoreItem>
</file>

<file path=customXml/itemProps4.xml><?xml version="1.0" encoding="utf-8"?>
<ds:datastoreItem xmlns:ds="http://schemas.openxmlformats.org/officeDocument/2006/customXml" ds:itemID="{6138013E-7118-4F98-9970-B621853A40CC}">
  <ds:schemaRefs>
    <ds:schemaRef ds:uri="http://schemas.microsoft.com/sharepoint/v3/contenttype/forms"/>
  </ds:schemaRefs>
</ds:datastoreItem>
</file>

<file path=docMetadata/LabelInfo.xml><?xml version="1.0" encoding="utf-8"?>
<clbl:labelList xmlns:clbl="http://schemas.microsoft.com/office/2020/mipLabelMetadata">
  <clbl:label id="{9be90479-1c7f-423a-a809-e751badc66e0}" enabled="0" method="" siteId="{9be90479-1c7f-423a-a809-e751badc66e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Cover</vt:lpstr>
      <vt:lpstr>Assests</vt:lpstr>
      <vt:lpstr>Threat_Catalogue </vt:lpstr>
      <vt:lpstr>Likelihood_Impact_Score</vt:lpstr>
      <vt:lpstr>Risk-Score</vt:lpstr>
      <vt:lpstr>Risk_Treatment_Options</vt:lpstr>
      <vt:lpstr>Risk-Register</vt:lpstr>
      <vt:lpstr>Likelihood_Impact_Score!_Hlk10025557</vt:lpstr>
      <vt:lpstr>Risk_Treatment_Options!_Toc230329165</vt:lpstr>
      <vt:lpstr>Cover!Print_Area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Amr Sarhan</cp:lastModifiedBy>
  <cp:revision/>
  <cp:lastPrinted>2024-11-12T06:26:16Z</cp:lastPrinted>
  <dcterms:created xsi:type="dcterms:W3CDTF">2024-06-25T19:35:52Z</dcterms:created>
  <dcterms:modified xsi:type="dcterms:W3CDTF">2024-11-12T06:26:31Z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0x01010085B93A6EF0A6D0479F526965575D06D7</vt:lpwstr>
  </property>
</Properties>
</file>